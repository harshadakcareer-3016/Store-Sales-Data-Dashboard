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slicers/slicer6.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slicers/slicer7.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F:\"/>
    </mc:Choice>
  </mc:AlternateContent>
  <bookViews>
    <workbookView xWindow="-120" yWindow="-120" windowWidth="20730" windowHeight="11160" firstSheet="4" activeTab="9"/>
  </bookViews>
  <sheets>
    <sheet name="Sheet3" sheetId="10" r:id="rId1"/>
    <sheet name="Data" sheetId="1" r:id="rId2"/>
    <sheet name="Pie chart" sheetId="3" r:id="rId3"/>
    <sheet name="Column chart" sheetId="4" r:id="rId4"/>
    <sheet name="Bar chart" sheetId="5" r:id="rId5"/>
    <sheet name="Line chart" sheetId="6" r:id="rId6"/>
    <sheet name="Bar chart 2" sheetId="7" r:id="rId7"/>
    <sheet name="DASHBORAD" sheetId="9" r:id="rId8"/>
    <sheet name="NEW DASHBOARD" sheetId="11" r:id="rId9"/>
    <sheet name="Sheet1" sheetId="12" r:id="rId10"/>
  </sheets>
  <definedNames>
    <definedName name="Slicer_Category">#N/A</definedName>
    <definedName name="Slicer_Months">#N/A</definedName>
    <definedName name="Slicer_Payment_Mode">#N/A</definedName>
    <definedName name="Slicer_Product">#N/A</definedName>
    <definedName name="Slicer_Store_Name">#N/A</definedName>
    <definedName name="Slicer_Total_Sales">#N/A</definedName>
  </definedNames>
  <calcPr calcId="162913"/>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F302" i="1" l="1"/>
  <c r="A302" i="1"/>
  <c r="H302" i="1"/>
</calcChain>
</file>

<file path=xl/sharedStrings.xml><?xml version="1.0" encoding="utf-8"?>
<sst xmlns="http://schemas.openxmlformats.org/spreadsheetml/2006/main" count="1544" uniqueCount="335">
  <si>
    <t>Order ID</t>
  </si>
  <si>
    <t>Order Date</t>
  </si>
  <si>
    <t>Store Name</t>
  </si>
  <si>
    <t>Product</t>
  </si>
  <si>
    <t>Category</t>
  </si>
  <si>
    <t>Quantity</t>
  </si>
  <si>
    <t>Unit Price</t>
  </si>
  <si>
    <t>Total Sales</t>
  </si>
  <si>
    <t>Payment Mode</t>
  </si>
  <si>
    <t>O0001</t>
  </si>
  <si>
    <t>City Mart</t>
  </si>
  <si>
    <t>Saree</t>
  </si>
  <si>
    <t>Apparel</t>
  </si>
  <si>
    <t>UPI</t>
  </si>
  <si>
    <t>O0002</t>
  </si>
  <si>
    <t>Vrinda Store</t>
  </si>
  <si>
    <t>Kurti</t>
  </si>
  <si>
    <t>Card</t>
  </si>
  <si>
    <t>O0003</t>
  </si>
  <si>
    <t>Sandals</t>
  </si>
  <si>
    <t>Footwear</t>
  </si>
  <si>
    <t>Cash</t>
  </si>
  <si>
    <t>O0004</t>
  </si>
  <si>
    <t>Smart Bazaar</t>
  </si>
  <si>
    <t>O0005</t>
  </si>
  <si>
    <t>O0006</t>
  </si>
  <si>
    <t>Jeans</t>
  </si>
  <si>
    <t>O0007</t>
  </si>
  <si>
    <t>Mega Store</t>
  </si>
  <si>
    <t>Soap</t>
  </si>
  <si>
    <t>FMCG</t>
  </si>
  <si>
    <t>O0008</t>
  </si>
  <si>
    <t>Shoes</t>
  </si>
  <si>
    <t>O0009</t>
  </si>
  <si>
    <t>Rice</t>
  </si>
  <si>
    <t>Grocery</t>
  </si>
  <si>
    <t>O0010</t>
  </si>
  <si>
    <t>O0011</t>
  </si>
  <si>
    <t>O0012</t>
  </si>
  <si>
    <t>O0013</t>
  </si>
  <si>
    <t>Oil</t>
  </si>
  <si>
    <t>O0014</t>
  </si>
  <si>
    <t>O0015</t>
  </si>
  <si>
    <t>O0016</t>
  </si>
  <si>
    <t>O0017</t>
  </si>
  <si>
    <t>O0018</t>
  </si>
  <si>
    <t>O0019</t>
  </si>
  <si>
    <t>O0020</t>
  </si>
  <si>
    <t>O0021</t>
  </si>
  <si>
    <t>O0022</t>
  </si>
  <si>
    <t>O0023</t>
  </si>
  <si>
    <t>O0024</t>
  </si>
  <si>
    <t>O0025</t>
  </si>
  <si>
    <t>O0026</t>
  </si>
  <si>
    <t>O0027</t>
  </si>
  <si>
    <t>O0028</t>
  </si>
  <si>
    <t>O0029</t>
  </si>
  <si>
    <t>O0030</t>
  </si>
  <si>
    <t>O0031</t>
  </si>
  <si>
    <t>O0032</t>
  </si>
  <si>
    <t>O0033</t>
  </si>
  <si>
    <t>O0034</t>
  </si>
  <si>
    <t>O0035</t>
  </si>
  <si>
    <t>O0036</t>
  </si>
  <si>
    <t>O0037</t>
  </si>
  <si>
    <t>O0038</t>
  </si>
  <si>
    <t>O0039</t>
  </si>
  <si>
    <t>O0040</t>
  </si>
  <si>
    <t>O0041</t>
  </si>
  <si>
    <t>O0042</t>
  </si>
  <si>
    <t>O0043</t>
  </si>
  <si>
    <t>O0044</t>
  </si>
  <si>
    <t>O0045</t>
  </si>
  <si>
    <t>O0046</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</si>
  <si>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</si>
  <si>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</si>
  <si>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</si>
  <si>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</si>
  <si>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</si>
  <si>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</si>
  <si>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</si>
  <si>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</si>
  <si>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</si>
  <si>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</si>
  <si>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</si>
  <si>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</si>
  <si>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</si>
  <si>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</si>
  <si>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</si>
  <si>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</si>
  <si>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</si>
  <si>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</si>
  <si>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</si>
  <si>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</si>
  <si>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</si>
  <si>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</si>
  <si>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</si>
  <si>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</si>
  <si>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</si>
  <si>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</si>
  <si>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</si>
  <si>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</si>
  <si>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</si>
  <si>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</si>
  <si>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</si>
  <si>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</si>
  <si>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</si>
  <si>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</si>
  <si>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</si>
  <si>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</si>
  <si>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</si>
  <si>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</si>
  <si>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</si>
  <si>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</si>
  <si>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</si>
  <si>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</si>
  <si>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</si>
  <si>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</si>
  <si>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</si>
  <si>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</si>
  <si>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</si>
  <si>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</si>
  <si>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</si>
  <si>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</si>
  <si>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</si>
  <si>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O0098</t>
  </si>
  <si>
    <t>O0099</t>
  </si>
  <si>
    <t>O0100</t>
  </si>
  <si>
    <t>O0101</t>
  </si>
  <si>
    <t>O0102</t>
  </si>
  <si>
    <t>O0103</t>
  </si>
  <si>
    <t>O0104</t>
  </si>
  <si>
    <t>O0105</t>
  </si>
  <si>
    <t>O0106</t>
  </si>
  <si>
    <t>O0107</t>
  </si>
  <si>
    <t>O0108</t>
  </si>
  <si>
    <t>O0109</t>
  </si>
  <si>
    <t>O0110</t>
  </si>
  <si>
    <t>O0111</t>
  </si>
  <si>
    <t>O0112</t>
  </si>
  <si>
    <t>O0113</t>
  </si>
  <si>
    <t>O0114</t>
  </si>
  <si>
    <t>O0115</t>
  </si>
  <si>
    <t>O0116</t>
  </si>
  <si>
    <t>O0117</t>
  </si>
  <si>
    <t>O0118</t>
  </si>
  <si>
    <t>O0119</t>
  </si>
  <si>
    <t>O0120</t>
  </si>
  <si>
    <t>O0121</t>
  </si>
  <si>
    <t>O0122</t>
  </si>
  <si>
    <t>O0123</t>
  </si>
  <si>
    <t>O0124</t>
  </si>
  <si>
    <t>O0125</t>
  </si>
  <si>
    <t>O0126</t>
  </si>
  <si>
    <t>O0127</t>
  </si>
  <si>
    <t>O0128</t>
  </si>
  <si>
    <t>O0129</t>
  </si>
  <si>
    <t>O0130</t>
  </si>
  <si>
    <t>O0131</t>
  </si>
  <si>
    <t>O0132</t>
  </si>
  <si>
    <t>O0133</t>
  </si>
  <si>
    <t>O0134</t>
  </si>
  <si>
    <t>O0135</t>
  </si>
  <si>
    <t>O0136</t>
  </si>
  <si>
    <t>O0137</t>
  </si>
  <si>
    <t>O0138</t>
  </si>
  <si>
    <t>O0139</t>
  </si>
  <si>
    <t>O0140</t>
  </si>
  <si>
    <t>O0141</t>
  </si>
  <si>
    <t>O0142</t>
  </si>
  <si>
    <t>O0143</t>
  </si>
  <si>
    <t>O0144</t>
  </si>
  <si>
    <t>O0145</t>
  </si>
  <si>
    <t>O0146</t>
  </si>
  <si>
    <t>O0147</t>
  </si>
  <si>
    <t>O0148</t>
  </si>
  <si>
    <t>O0149</t>
  </si>
  <si>
    <t>O0150</t>
  </si>
  <si>
    <t>O0151</t>
  </si>
  <si>
    <t>O0152</t>
  </si>
  <si>
    <t>O0153</t>
  </si>
  <si>
    <t>O0154</t>
  </si>
  <si>
    <t>O0155</t>
  </si>
  <si>
    <t>O0156</t>
  </si>
  <si>
    <t>O0157</t>
  </si>
  <si>
    <t>O0158</t>
  </si>
  <si>
    <t>O0159</t>
  </si>
  <si>
    <t>O0160</t>
  </si>
  <si>
    <t>O0161</t>
  </si>
  <si>
    <t>O0162</t>
  </si>
  <si>
    <t>O0163</t>
  </si>
  <si>
    <t>O0164</t>
  </si>
  <si>
    <t>O0165</t>
  </si>
  <si>
    <t>O0166</t>
  </si>
  <si>
    <t>O0167</t>
  </si>
  <si>
    <t>O0168</t>
  </si>
  <si>
    <t>O0169</t>
  </si>
  <si>
    <t>O0170</t>
  </si>
  <si>
    <t>O0171</t>
  </si>
  <si>
    <t>O0172</t>
  </si>
  <si>
    <t>O0173</t>
  </si>
  <si>
    <t>O0174</t>
  </si>
  <si>
    <t>O0175</t>
  </si>
  <si>
    <t>O0176</t>
  </si>
  <si>
    <t>O0177</t>
  </si>
  <si>
    <t>O0178</t>
  </si>
  <si>
    <t>O0179</t>
  </si>
  <si>
    <t>O0180</t>
  </si>
  <si>
    <t>O0181</t>
  </si>
  <si>
    <t>O0182</t>
  </si>
  <si>
    <t>O0183</t>
  </si>
  <si>
    <t>O0184</t>
  </si>
  <si>
    <t>O0185</t>
  </si>
  <si>
    <t>O0186</t>
  </si>
  <si>
    <t>O0187</t>
  </si>
  <si>
    <t>O0188</t>
  </si>
  <si>
    <t>O0189</t>
  </si>
  <si>
    <t>O0190</t>
  </si>
  <si>
    <t>O0191</t>
  </si>
  <si>
    <t>O0192</t>
  </si>
  <si>
    <t>O0193</t>
  </si>
  <si>
    <t>O0194</t>
  </si>
  <si>
    <t>O0195</t>
  </si>
  <si>
    <t>O0196</t>
  </si>
  <si>
    <t>O0197</t>
  </si>
  <si>
    <t>O0198</t>
  </si>
  <si>
    <t>O0199</t>
  </si>
  <si>
    <t>O0200</t>
  </si>
  <si>
    <t>O0201</t>
  </si>
  <si>
    <t>O0202</t>
  </si>
  <si>
    <t>O0203</t>
  </si>
  <si>
    <t>O0204</t>
  </si>
  <si>
    <t>O0205</t>
  </si>
  <si>
    <t>O0206</t>
  </si>
  <si>
    <t>O0207</t>
  </si>
  <si>
    <t>O0208</t>
  </si>
  <si>
    <t>O0209</t>
  </si>
  <si>
    <t>O0210</t>
  </si>
  <si>
    <t>O0211</t>
  </si>
  <si>
    <t>O0212</t>
  </si>
  <si>
    <t>O0213</t>
  </si>
  <si>
    <t>O0214</t>
  </si>
  <si>
    <t>O0215</t>
  </si>
  <si>
    <t>O0216</t>
  </si>
  <si>
    <t>O0217</t>
  </si>
  <si>
    <t>O0218</t>
  </si>
  <si>
    <t>O0219</t>
  </si>
  <si>
    <t>O0220</t>
  </si>
  <si>
    <t>O0221</t>
  </si>
  <si>
    <t>O0222</t>
  </si>
  <si>
    <t>O0223</t>
  </si>
  <si>
    <t>O0224</t>
  </si>
  <si>
    <t>O0225</t>
  </si>
  <si>
    <t>O0226</t>
  </si>
  <si>
    <t>O0227</t>
  </si>
  <si>
    <t>O0228</t>
  </si>
  <si>
    <t>O0229</t>
  </si>
  <si>
    <t>O0230</t>
  </si>
  <si>
    <t>O0231</t>
  </si>
  <si>
    <t>O0232</t>
  </si>
  <si>
    <t>O0233</t>
  </si>
  <si>
    <t>O0234</t>
  </si>
  <si>
    <t>O0235</t>
  </si>
  <si>
    <t>O0236</t>
  </si>
  <si>
    <t>O0237</t>
  </si>
  <si>
    <t>O0238</t>
  </si>
  <si>
    <t>O0239</t>
  </si>
  <si>
    <t>O0240</t>
  </si>
  <si>
    <t>O0241</t>
  </si>
  <si>
    <t>O0242</t>
  </si>
  <si>
    <t>O0243</t>
  </si>
  <si>
    <t>O0244</t>
  </si>
  <si>
    <t>O0245</t>
  </si>
  <si>
    <t>O0246</t>
  </si>
  <si>
    <t>O0247</t>
  </si>
  <si>
    <t>O0248</t>
  </si>
  <si>
    <t>O0249</t>
  </si>
  <si>
    <t>O0250</t>
  </si>
  <si>
    <t>O0251</t>
  </si>
  <si>
    <t>O0252</t>
  </si>
  <si>
    <t>O0253</t>
  </si>
  <si>
    <t>O0254</t>
  </si>
  <si>
    <t>O0255</t>
  </si>
  <si>
    <t>O0256</t>
  </si>
  <si>
    <t>O0257</t>
  </si>
  <si>
    <t>O0258</t>
  </si>
  <si>
    <t>O0259</t>
  </si>
  <si>
    <t>O0260</t>
  </si>
  <si>
    <t>O0261</t>
  </si>
  <si>
    <t>O0262</t>
  </si>
  <si>
    <t>O0263</t>
  </si>
  <si>
    <t>O0264</t>
  </si>
  <si>
    <t>O0265</t>
  </si>
  <si>
    <t>O0266</t>
  </si>
  <si>
    <t>O0267</t>
  </si>
  <si>
    <t>O0268</t>
  </si>
  <si>
    <t>O0269</t>
  </si>
  <si>
    <t>O0270</t>
  </si>
  <si>
    <t>O0271</t>
  </si>
  <si>
    <t>O0272</t>
  </si>
  <si>
    <t>O0273</t>
  </si>
  <si>
    <t>O0274</t>
  </si>
  <si>
    <t>O0275</t>
  </si>
  <si>
    <t>O0276</t>
  </si>
  <si>
    <t>O0277</t>
  </si>
  <si>
    <t>O0278</t>
  </si>
  <si>
    <t>O0279</t>
  </si>
  <si>
    <t>O0280</t>
  </si>
  <si>
    <t>O0281</t>
  </si>
  <si>
    <t>O0282</t>
  </si>
  <si>
    <t>O0283</t>
  </si>
  <si>
    <t>O0284</t>
  </si>
  <si>
    <t>O0285</t>
  </si>
  <si>
    <t>O0286</t>
  </si>
  <si>
    <t>O0287</t>
  </si>
  <si>
    <t>O0288</t>
  </si>
  <si>
    <t>O0289</t>
  </si>
  <si>
    <t>O0290</t>
  </si>
  <si>
    <t>O0291</t>
  </si>
  <si>
    <t>O0292</t>
  </si>
  <si>
    <t>O0293</t>
  </si>
  <si>
    <t>O0294</t>
  </si>
  <si>
    <t>O0295</t>
  </si>
  <si>
    <t>O0296</t>
  </si>
  <si>
    <t>O0297</t>
  </si>
  <si>
    <t>O0298</t>
  </si>
  <si>
    <t>O0299</t>
  </si>
  <si>
    <t>O0300</t>
  </si>
  <si>
    <t>Row Labels</t>
  </si>
  <si>
    <t>Sum of Total Sales</t>
  </si>
  <si>
    <t>Jan</t>
  </si>
  <si>
    <t>Feb</t>
  </si>
  <si>
    <t>Mar</t>
  </si>
  <si>
    <t>Apr</t>
  </si>
  <si>
    <t>Sum of Unit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</si>
</sst>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 #,##0.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053232"/>
        <bgColor indexed="64"/>
      </patternFill>
    </fill>
    <fill>
      <patternFill patternType="solid">
        <fgColor theme="0"/>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3">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4" xfId="0" applyBorder="1" applyAlignment="1">
      <alignment horizontal="center"/>
    </xf>
    <xf numFmtId="14" fontId="0" fillId="0" borderId="0" xfId="0" applyNumberFormat="1" applyBorder="1" applyAlignment="1">
      <alignment horizontal="center"/>
    </xf>
    <xf numFmtId="0" fontId="0" fillId="0" borderId="0"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14" fontId="0" fillId="0" borderId="7" xfId="0" applyNumberFormat="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0" fillId="2" borderId="0" xfId="0" applyFill="1"/>
    <xf numFmtId="0" fontId="0" fillId="2" borderId="0" xfId="0" applyFill="1" applyAlignment="1"/>
    <xf numFmtId="0" fontId="1" fillId="0" borderId="0" xfId="0" applyFont="1" applyFill="1" applyBorder="1" applyAlignment="1">
      <alignment horizontal="center"/>
    </xf>
    <xf numFmtId="0" fontId="0" fillId="0" borderId="0" xfId="0" applyAlignment="1">
      <alignment horizontal="center"/>
    </xf>
    <xf numFmtId="164" fontId="0" fillId="2" borderId="0" xfId="0" applyNumberFormat="1" applyFill="1" applyAlignment="1"/>
    <xf numFmtId="164" fontId="0" fillId="0" borderId="0" xfId="0" applyNumberFormat="1" applyAlignment="1">
      <alignment horizontal="center"/>
    </xf>
    <xf numFmtId="0" fontId="0" fillId="2" borderId="0" xfId="0" applyFill="1" applyAlignment="1">
      <alignment horizontal="center"/>
    </xf>
    <xf numFmtId="0" fontId="0" fillId="3" borderId="0" xfId="0" applyFill="1" applyAlignment="1"/>
  </cellXfs>
  <cellStyles count="1">
    <cellStyle name="Normal" xfId="0" builtinId="0"/>
  </cellStyles>
  <dxfs count="0"/>
  <tableStyles count="0" defaultTableStyle="TableStyleMedium2" defaultPivotStyle="PivotStyleLight16"/>
  <colors>
    <mruColors>
      <color rgb="FF053232"/>
      <color rgb="FF990099"/>
      <color rgb="FF252084"/>
      <color rgb="FF66CCFF"/>
      <color rgb="FF502632"/>
      <color rgb="FF503232"/>
      <color rgb="FFF6FFF8"/>
      <color rgb="FFF5FDFC"/>
      <color rgb="FF292632"/>
      <color rgb="FF29267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[Harshada Dashboard new.xlsx]Pie chart!PivotTable2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mn-lt"/>
              </a:rPr>
              <a:t>CATEGORY WISE SALES</a:t>
            </a:r>
          </a:p>
        </c:rich>
      </c:tx>
      <c:layout>
        <c:manualLayout>
          <c:xMode val="edge"/>
          <c:yMode val="edge"/>
          <c:x val="0.48581933508311459"/>
          <c:y val="3.6016331291921846E-2"/>
        </c:manualLayout>
      </c:layout>
      <c:overlay val="0"/>
      <c:spPr>
        <a:solidFill>
          <a:schemeClr val="bg2">
            <a:lumMod val="9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dLbl>
          <c:idx val="0"/>
          <c:tx>
            <c:rich>
              <a:bodyPr/>
              <a:lstStyle/>
              <a:p>
                <a:fld id="{358D946D-8CED-4BC1-BD08-DED2116399EC}" type="CATEGORYNAME">
                  <a:rPr lang="en-US"/>
                  <a:pPr/>
                  <a:t>[CATEGORY NAME]</a:t>
                </a:fld>
                <a:r>
                  <a:rPr lang="en-US"/>
                  <a:t>
0.15%</a:t>
                </a: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pivotFmt>
      <c:pivotFmt>
        <c:idx val="4"/>
      </c:pivotFmt>
      <c:pivotFmt>
        <c:idx val="5"/>
      </c:pivotFmt>
      <c:pivotFmt>
        <c:idx val="6"/>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6827721002959737"/>
          <c:y val="0.22489337659675768"/>
          <c:w val="0.3443160030528099"/>
          <c:h val="0.66164995043974661"/>
        </c:manualLayout>
      </c:layout>
      <c:pieChart>
        <c:varyColors val="1"/>
        <c:ser>
          <c:idx val="0"/>
          <c:order val="0"/>
          <c:tx>
            <c:strRef>
              <c:f>'Pie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03-4260-A1F0-88AA58B7BD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03-4260-A1F0-88AA58B7BD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103-4260-A1F0-88AA58B7BD3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103-4260-A1F0-88AA58B7BD39}"/>
              </c:ext>
            </c:extLst>
          </c:dPt>
          <c:cat>
            <c:strRef>
              <c:f>'Pie chart'!$A$4:$A$7</c:f>
              <c:strCache>
                <c:ptCount val="4"/>
                <c:pt idx="0">
                  <c:v>Apparel</c:v>
                </c:pt>
                <c:pt idx="1">
                  <c:v>FMCG</c:v>
                </c:pt>
                <c:pt idx="2">
                  <c:v>Footwear</c:v>
                </c:pt>
                <c:pt idx="3">
                  <c:v>Grocery</c:v>
                </c:pt>
              </c:strCache>
            </c:strRef>
          </c:cat>
          <c:val>
            <c:numRef>
              <c:f>'Pie chart'!$B$4:$B$7</c:f>
              <c:numCache>
                <c:formatCode>General</c:formatCode>
                <c:ptCount val="4"/>
                <c:pt idx="0">
                  <c:v>712500</c:v>
                </c:pt>
                <c:pt idx="1">
                  <c:v>3480</c:v>
                </c:pt>
                <c:pt idx="2">
                  <c:v>394000</c:v>
                </c:pt>
                <c:pt idx="3">
                  <c:v>39720</c:v>
                </c:pt>
              </c:numCache>
            </c:numRef>
          </c:val>
          <c:extLst>
            <c:ext xmlns:c16="http://schemas.microsoft.com/office/drawing/2014/chart" uri="{C3380CC4-5D6E-409C-BE32-E72D297353CC}">
              <c16:uniqueId val="{00000008-596D-4CFB-AA9E-B64C538D465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[Harshada Dashboard new.xlsx]Column chart!PivotTable1</c:name>
    <c:fmtId val="1"/>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b="0">
                <a:solidFill>
                  <a:srgbClr val="002060"/>
                </a:solidFill>
                <a:latin typeface="+mn-lt"/>
              </a:rPr>
              <a:t>STORE WISE SALES</a:t>
            </a:r>
          </a:p>
        </c:rich>
      </c:tx>
      <c:overlay val="0"/>
      <c:spPr>
        <a:solidFill>
          <a:schemeClr val="bg2">
            <a:lumMod val="90000"/>
          </a:schemeClr>
        </a:solid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s>
    <c:plotArea>
      <c:layout/>
      <c:barChart>
        <c:barDir val="col"/>
        <c:grouping val="clustered"/>
        <c:varyColors val="0"/>
        <c:ser>
          <c:idx val="0"/>
          <c:order val="0"/>
          <c:tx>
            <c:strRef>
              <c:f>'Column chart'!$B$3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'Column chart'!$A$4:$A$7</c:f>
              <c:strCache>
                <c:ptCount val="4"/>
                <c:pt idx="0">
                  <c:v>City Mart</c:v>
                </c:pt>
                <c:pt idx="1">
                  <c:v>Mega Store</c:v>
                </c:pt>
                <c:pt idx="2">
                  <c:v>Smart Bazaar</c:v>
                </c:pt>
                <c:pt idx="3">
                  <c:v>Vrinda Store</c:v>
                </c:pt>
              </c:strCache>
            </c:strRef>
          </c:cat>
          <c:val>
            <c:numRef>
              <c:f>'Column chart'!$B$4:$B$7</c:f>
              <c:numCache>
                <c:formatCode>General</c:formatCode>
                <c:ptCount val="4"/>
                <c:pt idx="0">
                  <c:v>271500</c:v>
                </c:pt>
                <c:pt idx="1">
                  <c:v>269740</c:v>
                </c:pt>
                <c:pt idx="2">
                  <c:v>312780</c:v>
                </c:pt>
                <c:pt idx="3">
                  <c:v>295680</c:v>
                </c:pt>
              </c:numCache>
            </c:numRef>
          </c:val>
          <c:extLst>
            <c:ext xmlns:c16="http://schemas.microsoft.com/office/drawing/2014/chart" uri="{C3380CC4-5D6E-409C-BE32-E72D297353CC}">
              <c16:uniqueId val="{00000000-F6B5-4973-8911-A7BE60DAC6AD}"/>
            </c:ext>
          </c:extLst>
        </c:ser>
        <c:dLbls>
          <c:showLegendKey val="0"/>
          <c:showVal val="0"/>
          <c:showCatName val="0"/>
          <c:showSerName val="0"/>
          <c:showPercent val="0"/>
          <c:showBubbleSize val="0"/>
        </c:dLbls>
        <c:gapWidth val="355"/>
        <c:overlap val="-70"/>
        <c:axId val="407584128"/>
        <c:axId val="407580520"/>
      </c:barChart>
      <c:catAx>
        <c:axId val="40758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580520"/>
        <c:crosses val="autoZero"/>
        <c:auto val="1"/>
        <c:lblAlgn val="ctr"/>
        <c:lblOffset val="100"/>
        <c:noMultiLvlLbl val="0"/>
      </c:catAx>
      <c:valAx>
        <c:axId val="407580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58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[Harshada Dashboard new.xlsx]Bar chart!PivotTable1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2060"/>
                </a:solidFill>
                <a:latin typeface="+mn-lt"/>
              </a:rPr>
              <a:t>Payment Mode Analysis</a:t>
            </a:r>
          </a:p>
        </c:rich>
      </c:tx>
      <c:layout>
        <c:manualLayout>
          <c:xMode val="edge"/>
          <c:yMode val="edge"/>
          <c:x val="0.28080555555555553"/>
          <c:y val="3.7037037037037035E-2"/>
        </c:manualLayout>
      </c:layout>
      <c:overlay val="0"/>
      <c:spPr>
        <a:solidFill>
          <a:schemeClr val="bg2">
            <a:lumMod val="9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'Bar chart'!$B$3</c:f>
              <c:strCache>
                <c:ptCount val="1"/>
                <c:pt idx="0">
                  <c:v>Total</c:v>
                </c:pt>
              </c:strCache>
            </c:strRef>
          </c:tx>
          <c:spPr>
            <a:solidFill>
              <a:schemeClr val="accent1"/>
            </a:solidFill>
            <a:ln>
              <a:noFill/>
            </a:ln>
            <a:effectLst/>
          </c:spPr>
          <c:invertIfNegative val="0"/>
          <c:dLbls>
            <c:delete val="1"/>
          </c:dLbls>
          <c:cat>
            <c:strRef>
              <c:f>'Bar chart'!$A$4:$A$6</c:f>
              <c:strCache>
                <c:ptCount val="3"/>
                <c:pt idx="0">
                  <c:v>Card</c:v>
                </c:pt>
                <c:pt idx="1">
                  <c:v>Cash</c:v>
                </c:pt>
                <c:pt idx="2">
                  <c:v>UPI</c:v>
                </c:pt>
              </c:strCache>
            </c:strRef>
          </c:cat>
          <c:val>
            <c:numRef>
              <c:f>'Bar chart'!$B$4:$B$6</c:f>
              <c:numCache>
                <c:formatCode>General</c:formatCode>
                <c:ptCount val="3"/>
                <c:pt idx="0">
                  <c:v>374520</c:v>
                </c:pt>
                <c:pt idx="1">
                  <c:v>394720</c:v>
                </c:pt>
                <c:pt idx="2">
                  <c:v>380460</c:v>
                </c:pt>
              </c:numCache>
            </c:numRef>
          </c:val>
          <c:extLst>
            <c:ext xmlns:c16="http://schemas.microsoft.com/office/drawing/2014/chart" uri="{C3380CC4-5D6E-409C-BE32-E72D297353CC}">
              <c16:uniqueId val="{00000000-64C3-48E9-A341-263248FF57F9}"/>
            </c:ext>
          </c:extLst>
        </c:ser>
        <c:dLbls>
          <c:dLblPos val="inEnd"/>
          <c:showLegendKey val="0"/>
          <c:showVal val="1"/>
          <c:showCatName val="0"/>
          <c:showSerName val="0"/>
          <c:showPercent val="0"/>
          <c:showBubbleSize val="0"/>
        </c:dLbls>
        <c:gapWidth val="182"/>
        <c:axId val="396134880"/>
        <c:axId val="396135536"/>
      </c:barChart>
      <c:catAx>
        <c:axId val="396134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135536"/>
        <c:crosses val="autoZero"/>
        <c:auto val="1"/>
        <c:lblAlgn val="ctr"/>
        <c:lblOffset val="100"/>
        <c:noMultiLvlLbl val="0"/>
      </c:catAx>
      <c:valAx>
        <c:axId val="396135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13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[Harshada Dashboard new.xlsx]Line chart!PivotTable2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2060"/>
                </a:solidFill>
                <a:latin typeface="+mn-lt"/>
              </a:rPr>
              <a:t>MONTHLY</a:t>
            </a:r>
            <a:r>
              <a:rPr lang="en-US" sz="1600" b="1" baseline="0">
                <a:solidFill>
                  <a:srgbClr val="002060"/>
                </a:solidFill>
                <a:latin typeface="+mn-lt"/>
              </a:rPr>
              <a:t> SALES TREND</a:t>
            </a:r>
            <a:endParaRPr lang="en-US" sz="1600" b="1">
              <a:solidFill>
                <a:srgbClr val="002060"/>
              </a:solidFill>
              <a:latin typeface="+mn-lt"/>
            </a:endParaRPr>
          </a:p>
        </c:rich>
      </c:tx>
      <c:layout>
        <c:manualLayout>
          <c:xMode val="edge"/>
          <c:yMode val="edge"/>
          <c:x val="0.29096522309711281"/>
          <c:y val="3.7037037037037035E-2"/>
        </c:manualLayout>
      </c:layout>
      <c:overlay val="0"/>
      <c:spPr>
        <a:solidFill>
          <a:schemeClr val="bg2">
            <a:lumMod val="9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'Line chart'!$B$3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elete val="1"/>
          </c:dLbls>
          <c:cat>
            <c:strRef>
              <c:f>'Line chart'!$A$4:$A$7</c:f>
              <c:strCache>
                <c:ptCount val="4"/>
                <c:pt idx="0">
                  <c:v>Jan</c:v>
                </c:pt>
                <c:pt idx="1">
                  <c:v>Feb</c:v>
                </c:pt>
                <c:pt idx="2">
                  <c:v>Mar</c:v>
                </c:pt>
                <c:pt idx="3">
                  <c:v>Apr</c:v>
                </c:pt>
              </c:strCache>
            </c:strRef>
          </c:cat>
          <c:val>
            <c:numRef>
              <c:f>'Line chart'!$B$4:$B$7</c:f>
              <c:numCache>
                <c:formatCode>General</c:formatCode>
                <c:ptCount val="4"/>
                <c:pt idx="0">
                  <c:v>388560</c:v>
                </c:pt>
                <c:pt idx="1">
                  <c:v>414560</c:v>
                </c:pt>
                <c:pt idx="2">
                  <c:v>328240</c:v>
                </c:pt>
                <c:pt idx="3">
                  <c:v>18340</c:v>
                </c:pt>
              </c:numCache>
            </c:numRef>
          </c:val>
          <c:smooth val="0"/>
          <c:extLst>
            <c:ext xmlns:c16="http://schemas.microsoft.com/office/drawing/2014/chart" uri="{C3380CC4-5D6E-409C-BE32-E72D297353CC}">
              <c16:uniqueId val="{00000002-8108-43B2-96BB-D38B11AA2D55}"/>
            </c:ext>
          </c:extLst>
        </c:ser>
        <c:dLbls>
          <c:dLblPos val="ctr"/>
          <c:showLegendKey val="0"/>
          <c:showVal val="1"/>
          <c:showCatName val="0"/>
          <c:showSerName val="0"/>
          <c:showPercent val="0"/>
          <c:showBubbleSize val="0"/>
        </c:dLbls>
        <c:marker val="1"/>
        <c:smooth val="0"/>
        <c:axId val="468657584"/>
        <c:axId val="468657256"/>
      </c:lineChart>
      <c:catAx>
        <c:axId val="46865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657256"/>
        <c:crosses val="autoZero"/>
        <c:auto val="1"/>
        <c:lblAlgn val="ctr"/>
        <c:lblOffset val="100"/>
        <c:noMultiLvlLbl val="0"/>
      </c:catAx>
      <c:valAx>
        <c:axId val="468657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657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[Harshada Dashboard new.xlsx]Bar chart 2!PivotTable3</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200" b="0">
                <a:solidFill>
                  <a:schemeClr val="tx1"/>
                </a:solidFill>
              </a:rPr>
              <a:t>Product Wise Sales</a:t>
            </a:r>
          </a:p>
        </c:rich>
      </c:tx>
      <c:layout>
        <c:manualLayout>
          <c:xMode val="edge"/>
          <c:yMode val="edge"/>
          <c:x val="0.38668530919616351"/>
          <c:y val="2.4205752709964258E-2"/>
        </c:manualLayout>
      </c:layout>
      <c:overlay val="0"/>
      <c:spPr>
        <a:solidFill>
          <a:schemeClr val="accent2"/>
        </a:solid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barChart>
        <c:barDir val="bar"/>
        <c:grouping val="clustered"/>
        <c:varyColors val="0"/>
        <c:ser>
          <c:idx val="0"/>
          <c:order val="0"/>
          <c:tx>
            <c:strRef>
              <c:f>'Bar chart 2'!$B$3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'Bar chart 2'!$A$4:$A$11</c:f>
              <c:strCache>
                <c:ptCount val="8"/>
                <c:pt idx="0">
                  <c:v>Shoes</c:v>
                </c:pt>
                <c:pt idx="1">
                  <c:v>Jeans</c:v>
                </c:pt>
                <c:pt idx="2">
                  <c:v>Kurti</c:v>
                </c:pt>
                <c:pt idx="3">
                  <c:v>Oil</c:v>
                </c:pt>
                <c:pt idx="4">
                  <c:v>Rice</c:v>
                </c:pt>
                <c:pt idx="5">
                  <c:v>Sandals</c:v>
                </c:pt>
                <c:pt idx="6">
                  <c:v>Saree</c:v>
                </c:pt>
                <c:pt idx="7">
                  <c:v>Soap</c:v>
                </c:pt>
              </c:strCache>
            </c:strRef>
          </c:cat>
          <c:val>
            <c:numRef>
              <c:f>'Bar chart 2'!$B$4:$B$11</c:f>
              <c:numCache>
                <c:formatCode>General</c:formatCode>
                <c:ptCount val="8"/>
                <c:pt idx="0">
                  <c:v>280000</c:v>
                </c:pt>
                <c:pt idx="1">
                  <c:v>196200</c:v>
                </c:pt>
                <c:pt idx="2">
                  <c:v>106800</c:v>
                </c:pt>
                <c:pt idx="3">
                  <c:v>32940</c:v>
                </c:pt>
                <c:pt idx="4">
                  <c:v>6780</c:v>
                </c:pt>
                <c:pt idx="5">
                  <c:v>114000</c:v>
                </c:pt>
                <c:pt idx="6">
                  <c:v>409500</c:v>
                </c:pt>
                <c:pt idx="7">
                  <c:v>3480</c:v>
                </c:pt>
              </c:numCache>
            </c:numRef>
          </c:val>
          <c:extLst>
            <c:ext xmlns:c16="http://schemas.microsoft.com/office/drawing/2014/chart" uri="{C3380CC4-5D6E-409C-BE32-E72D297353CC}">
              <c16:uniqueId val="{00000000-2C97-48E7-A715-A10537A0678B}"/>
            </c:ext>
          </c:extLst>
        </c:ser>
        <c:dLbls>
          <c:showLegendKey val="0"/>
          <c:showVal val="0"/>
          <c:showCatName val="0"/>
          <c:showSerName val="0"/>
          <c:showPercent val="0"/>
          <c:showBubbleSize val="0"/>
        </c:dLbls>
        <c:gapWidth val="182"/>
        <c:overlap val="-50"/>
        <c:axId val="468649712"/>
        <c:axId val="468647744"/>
      </c:barChart>
      <c:catAx>
        <c:axId val="46864971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inorGridlines>
          <c: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8647744"/>
        <c:crosses val="autoZero"/>
        <c:auto val="1"/>
        <c:lblAlgn val="ctr"/>
        <c:lblOffset val="100"/>
        <c:noMultiLvlLbl val="0"/>
      </c:catAx>
      <c:valAx>
        <c:axId val="468647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8649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[Harshada Dashboard new.xlsx]Column chart!PivotTable1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1">
                <a:solidFill>
                  <a:schemeClr val="tx1"/>
                </a:solidFill>
              </a:rPr>
              <a:t>Store</a:t>
            </a:r>
            <a:r>
              <a:rPr lang="en-US" sz="1400" b="1" baseline="0">
                <a:solidFill>
                  <a:schemeClr val="tx1"/>
                </a:solidFill>
              </a:rPr>
              <a:t> wise sales</a:t>
            </a:r>
            <a:endParaRPr lang="en-US" sz="1400" b="1">
              <a:solidFill>
                <a:schemeClr val="tx1"/>
              </a:solidFill>
            </a:endParaRPr>
          </a:p>
        </c:rich>
      </c:tx>
      <c:overlay val="0"/>
      <c:spPr>
        <a:solidFill>
          <a:schemeClr val="accent2"/>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'Column chart'!$B$3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'Column chart'!$A$4:$A$7</c:f>
              <c:strCache>
                <c:ptCount val="4"/>
                <c:pt idx="0">
                  <c:v>City Mart</c:v>
                </c:pt>
                <c:pt idx="1">
                  <c:v>Mega Store</c:v>
                </c:pt>
                <c:pt idx="2">
                  <c:v>Smart Bazaar</c:v>
                </c:pt>
                <c:pt idx="3">
                  <c:v>Vrinda Store</c:v>
                </c:pt>
              </c:strCache>
            </c:strRef>
          </c:cat>
          <c:val>
            <c:numRef>
              <c:f>'Column chart'!$B$4:$B$7</c:f>
              <c:numCache>
                <c:formatCode>General</c:formatCode>
                <c:ptCount val="4"/>
                <c:pt idx="0">
                  <c:v>271500</c:v>
                </c:pt>
                <c:pt idx="1">
                  <c:v>269740</c:v>
                </c:pt>
                <c:pt idx="2">
                  <c:v>312780</c:v>
                </c:pt>
                <c:pt idx="3">
                  <c:v>295680</c:v>
                </c:pt>
              </c:numCache>
            </c:numRef>
          </c:val>
          <c:extLst>
            <c:ext xmlns:c16="http://schemas.microsoft.com/office/drawing/2014/chart" uri="{C3380CC4-5D6E-409C-BE32-E72D297353CC}">
              <c16:uniqueId val="{00000000-C14D-4D7B-9D7E-6D9B1FB3DC5D}"/>
            </c:ext>
          </c:extLst>
        </c:ser>
        <c:dLbls>
          <c:showLegendKey val="0"/>
          <c:showVal val="0"/>
          <c:showCatName val="0"/>
          <c:showSerName val="0"/>
          <c:showPercent val="0"/>
          <c:showBubbleSize val="0"/>
        </c:dLbls>
        <c:gapWidth val="100"/>
        <c:overlap val="-24"/>
        <c:axId val="407584128"/>
        <c:axId val="407580520"/>
      </c:barChart>
      <c:catAx>
        <c:axId val="4075841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7580520"/>
        <c:crosses val="autoZero"/>
        <c:auto val="1"/>
        <c:lblAlgn val="ctr"/>
        <c:lblOffset val="100"/>
        <c:noMultiLvlLbl val="0"/>
      </c:catAx>
      <c:valAx>
        <c:axId val="407580520"/>
        <c:scaling>
          <c:orientation val="minMax"/>
        </c:scaling>
        <c:delete val="0"/>
        <c:axPos val="l"/>
        <c:majorGridlines>
          <c:spPr>
            <a:ln w="9525" cap="flat" cmpd="sng" algn="ctr">
              <a:solidFill>
                <a:schemeClr val="lt1">
                  <a:lumMod val="95000"/>
                  <a:alpha val="10000"/>
                </a:schemeClr>
              </a:solidFill>
              <a:round/>
            </a:ln>
            <a:effectLst/>
          </c:spPr>
        </c:majorGridlines>
        <c:minorGridlines>
          <c:spPr>
            <a:ln>
              <a:solidFill>
                <a:schemeClr val="lt1">
                  <a:lumMod val="95000"/>
                  <a:alpha val="5000"/>
                </a:schemeClr>
              </a:solidFill>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7584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[Harshada Dashboard new.xlsx]Pie chart!PivotTable2</c:name>
    <c:fmtId val="8"/>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n-lt"/>
                <a:ea typeface="+mj-ea"/>
                <a:cs typeface="+mj-cs"/>
              </a:defRPr>
            </a:pPr>
            <a:r>
              <a:rPr lang="en-US" b="1">
                <a:solidFill>
                  <a:schemeClr val="tx1"/>
                </a:solidFill>
                <a:latin typeface="+mn-lt"/>
              </a:rPr>
              <a:t>Category</a:t>
            </a:r>
            <a:r>
              <a:rPr lang="en-US" b="1" baseline="0">
                <a:solidFill>
                  <a:schemeClr val="tx1"/>
                </a:solidFill>
                <a:latin typeface="+mn-lt"/>
              </a:rPr>
              <a:t> wise sales</a:t>
            </a:r>
          </a:p>
        </c:rich>
      </c:tx>
      <c:layout>
        <c:manualLayout>
          <c:xMode val="edge"/>
          <c:yMode val="edge"/>
          <c:x val="0.23292497946959084"/>
          <c:y val="4.3771469327786569E-2"/>
        </c:manualLayout>
      </c:layout>
      <c:overlay val="0"/>
      <c:spPr>
        <a:solidFill>
          <a:schemeClr val="accent2"/>
        </a:solid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n-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dLbl>
          <c:idx val="0"/>
          <c:tx>
            <c:rich>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fld id="{358D946D-8CED-4BC1-BD08-DED2116399EC}" type="CATEGORYNAME">
                  <a:rPr lang="en-US"/>
                  <a:pPr>
                    <a:defRPr sz="900" b="1" i="0" u="none" strike="noStrike" kern="1200" baseline="0">
                      <a:solidFill>
                        <a:schemeClr val="dk1">
                          <a:lumMod val="65000"/>
                          <a:lumOff val="35000"/>
                        </a:schemeClr>
                      </a:solidFill>
                      <a:latin typeface="+mn-lt"/>
                      <a:ea typeface="+mn-ea"/>
                      <a:cs typeface="+mn-cs"/>
                    </a:defRPr>
                  </a:pPr>
                  <a:t>[CATEGORY NAME]</a:t>
                </a:fld>
                <a:r>
                  <a:rPr lang="en-US"/>
                  <a:t>
0.15%</a:t>
                </a:r>
              </a:p>
            </c:rich>
          </c:tx>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7"/>
        <c:spPr>
          <a:gradFill>
            <a:gsLst>
              <a:gs pos="100000">
                <a:schemeClr val="accent1">
                  <a:lumMod val="60000"/>
                  <a:lumOff val="40000"/>
                </a:schemeClr>
              </a:gs>
              <a:gs pos="0">
                <a:schemeClr val="accent1"/>
              </a:gs>
            </a:gsLst>
            <a:lin ang="5400000" scaled="0"/>
          </a:gradFill>
          <a:ln w="19050">
            <a:solidFill>
              <a:schemeClr val="lt1"/>
            </a:solidFill>
          </a:ln>
          <a:effectLst/>
        </c:spPr>
        <c:dLbl>
          <c:idx val="0"/>
          <c:tx>
            <c:rich>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fld id="{358D946D-8CED-4BC1-BD08-DED2116399EC}" type="CATEGORYNAME">
                  <a:rPr lang="en-US"/>
                  <a:pPr>
                    <a:defRPr sz="900" b="1" i="0" u="none" strike="noStrike" kern="1200" baseline="0">
                      <a:solidFill>
                        <a:schemeClr val="dk1">
                          <a:lumMod val="65000"/>
                          <a:lumOff val="35000"/>
                        </a:schemeClr>
                      </a:solidFill>
                      <a:latin typeface="+mn-lt"/>
                      <a:ea typeface="+mn-ea"/>
                      <a:cs typeface="+mn-cs"/>
                    </a:defRPr>
                  </a:pPr>
                  <a:t>[CATEGORY NAME]</a:t>
                </a:fld>
                <a:r>
                  <a:rPr lang="en-US"/>
                  <a:t>
0.15%</a:t>
                </a:r>
              </a:p>
            </c:rich>
          </c:tx>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2"/>
        <c:spPr>
          <a:gradFill>
            <a:gsLst>
              <a:gs pos="100000">
                <a:schemeClr val="accent1">
                  <a:lumMod val="60000"/>
                  <a:lumOff val="40000"/>
                </a:schemeClr>
              </a:gs>
              <a:gs pos="0">
                <a:schemeClr val="accent1"/>
              </a:gs>
            </a:gsLst>
            <a:lin ang="5400000" scaled="0"/>
          </a:gradFill>
          <a:ln w="19050">
            <a:solidFill>
              <a:schemeClr val="lt1"/>
            </a:solidFill>
          </a:ln>
          <a:effectLst/>
        </c:spPr>
        <c:dLbl>
          <c:idx val="0"/>
          <c:tx>
            <c:rich>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fld id="{358D946D-8CED-4BC1-BD08-DED2116399EC}" type="CATEGORYNAME">
                  <a:rPr lang="en-US"/>
                  <a:pPr>
                    <a:defRPr sz="900" b="1" i="0" u="none" strike="noStrike" kern="1200" baseline="0">
                      <a:solidFill>
                        <a:schemeClr val="dk1">
                          <a:lumMod val="65000"/>
                          <a:lumOff val="35000"/>
                        </a:schemeClr>
                      </a:solidFill>
                      <a:latin typeface="+mn-lt"/>
                      <a:ea typeface="+mn-ea"/>
                      <a:cs typeface="+mn-cs"/>
                    </a:defRPr>
                  </a:pPr>
                  <a:t>[CATEGORY NAME]</a:t>
                </a:fld>
                <a:r>
                  <a:rPr lang="en-US"/>
                  <a:t>
0.15%</a:t>
                </a:r>
              </a:p>
            </c:rich>
          </c:tx>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5"/>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7"/>
        <c:spPr>
          <a:gradFill>
            <a:gsLst>
              <a:gs pos="100000">
                <a:schemeClr val="accent1">
                  <a:lumMod val="60000"/>
                  <a:lumOff val="40000"/>
                </a:schemeClr>
              </a:gs>
              <a:gs pos="0">
                <a:schemeClr val="accent1"/>
              </a:gs>
            </a:gsLst>
            <a:lin ang="5400000" scaled="0"/>
          </a:gradFill>
          <a:ln w="19050">
            <a:solidFill>
              <a:schemeClr val="lt1"/>
            </a:solidFill>
          </a:ln>
          <a:effectLst/>
        </c:spPr>
        <c:dLbl>
          <c:idx val="0"/>
          <c:tx>
            <c:rich>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fld id="{358D946D-8CED-4BC1-BD08-DED2116399EC}" type="CATEGORYNAME">
                  <a:rPr lang="en-US"/>
                  <a:pPr>
                    <a:defRPr/>
                  </a:pPr>
                  <a:t>[CATEGORY NAME]</a:t>
                </a:fld>
                <a:r>
                  <a:rPr lang="en-US"/>
                  <a:t>
0.15%</a:t>
                </a:r>
              </a:p>
            </c:rich>
          </c:tx>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0"/>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manualLayout>
          <c:layoutTarget val="inner"/>
          <c:xMode val="edge"/>
          <c:yMode val="edge"/>
          <c:x val="0.26827721002959737"/>
          <c:y val="0.22489337659675768"/>
          <c:w val="0.3443160030528099"/>
          <c:h val="0.66164995043974661"/>
        </c:manualLayout>
      </c:layout>
      <c:pieChart>
        <c:varyColors val="1"/>
        <c:ser>
          <c:idx val="0"/>
          <c:order val="0"/>
          <c:tx>
            <c:strRef>
              <c:f>'Pie chart'!$B$3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9ADA-4231-999F-17D629660E48}"/>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9ADA-4231-999F-17D629660E48}"/>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9ADA-4231-999F-17D629660E48}"/>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9ADA-4231-999F-17D629660E48}"/>
              </c:ext>
            </c:extLst>
          </c:dPt>
          <c:dLbls>
            <c:dLbl>
              <c:idx val="1"/>
              <c:tx>
                <c:rich>
                  <a:bodyPr/>
                  <a:lstStyle/>
                  <a:p>
                    <a:fld id="{358D946D-8CED-4BC1-BD08-DED2116399EC}" type="CATEGORYNAME">
                      <a:rPr lang="en-US"/>
                      <a:pPr/>
                      <a:t>[CATEGORY NAME]</a:t>
                    </a:fld>
                    <a:r>
                      <a:rPr lang="en-US"/>
                      <a:t>
0.15%</a:t>
                    </a: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ADA-4231-999F-17D629660E48}"/>
                </c:ext>
              </c:extLst>
            </c:dLbl>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 chart'!$A$4:$A$7</c:f>
              <c:strCache>
                <c:ptCount val="4"/>
                <c:pt idx="0">
                  <c:v>Apparel</c:v>
                </c:pt>
                <c:pt idx="1">
                  <c:v>FMCG</c:v>
                </c:pt>
                <c:pt idx="2">
                  <c:v>Footwear</c:v>
                </c:pt>
                <c:pt idx="3">
                  <c:v>Grocery</c:v>
                </c:pt>
              </c:strCache>
            </c:strRef>
          </c:cat>
          <c:val>
            <c:numRef>
              <c:f>'Pie chart'!$B$4:$B$7</c:f>
              <c:numCache>
                <c:formatCode>General</c:formatCode>
                <c:ptCount val="4"/>
                <c:pt idx="0">
                  <c:v>712500</c:v>
                </c:pt>
                <c:pt idx="1">
                  <c:v>3480</c:v>
                </c:pt>
                <c:pt idx="2">
                  <c:v>394000</c:v>
                </c:pt>
                <c:pt idx="3">
                  <c:v>39720</c:v>
                </c:pt>
              </c:numCache>
            </c:numRef>
          </c:val>
          <c:extLst>
            <c:ext xmlns:c16="http://schemas.microsoft.com/office/drawing/2014/chart" uri="{C3380CC4-5D6E-409C-BE32-E72D297353CC}">
              <c16:uniqueId val="{00000008-6574-4EAA-9CCD-669323CA416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[Harshada Dashboard new.xlsx]Bar chart!PivotTable1</c:name>
    <c:fmtId val="2"/>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US" sz="1400"/>
              <a:t>Payment mode analysis</a:t>
            </a:r>
          </a:p>
        </c:rich>
      </c:tx>
      <c:layout>
        <c:manualLayout>
          <c:xMode val="edge"/>
          <c:yMode val="edge"/>
          <c:x val="0.21392596619357074"/>
          <c:y val="4.6481523541024132E-2"/>
        </c:manualLayout>
      </c:layout>
      <c:overlay val="0"/>
      <c:spPr>
        <a:solidFill>
          <a:schemeClr val="accent2"/>
        </a:solid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882859387799453"/>
          <c:y val="0.17171296296296298"/>
          <c:w val="0.4207566206967846"/>
          <c:h val="0.72088764946048411"/>
        </c:manualLayout>
      </c:layout>
      <c:barChart>
        <c:barDir val="bar"/>
        <c:grouping val="clustered"/>
        <c:varyColors val="0"/>
        <c:ser>
          <c:idx val="0"/>
          <c:order val="0"/>
          <c:tx>
            <c:strRef>
              <c:f>'Bar chart'!$B$3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chart'!$A$4:$A$6</c:f>
              <c:strCache>
                <c:ptCount val="3"/>
                <c:pt idx="0">
                  <c:v>Card</c:v>
                </c:pt>
                <c:pt idx="1">
                  <c:v>Cash</c:v>
                </c:pt>
                <c:pt idx="2">
                  <c:v>UPI</c:v>
                </c:pt>
              </c:strCache>
            </c:strRef>
          </c:cat>
          <c:val>
            <c:numRef>
              <c:f>'Bar chart'!$B$4:$B$6</c:f>
              <c:numCache>
                <c:formatCode>General</c:formatCode>
                <c:ptCount val="3"/>
                <c:pt idx="0">
                  <c:v>374520</c:v>
                </c:pt>
                <c:pt idx="1">
                  <c:v>394720</c:v>
                </c:pt>
                <c:pt idx="2">
                  <c:v>380460</c:v>
                </c:pt>
              </c:numCache>
            </c:numRef>
          </c:val>
          <c:extLst>
            <c:ext xmlns:c16="http://schemas.microsoft.com/office/drawing/2014/chart" uri="{C3380CC4-5D6E-409C-BE32-E72D297353CC}">
              <c16:uniqueId val="{00000000-E98A-4626-ABC1-0C482FC2A0E6}"/>
            </c:ext>
          </c:extLst>
        </c:ser>
        <c:dLbls>
          <c:dLblPos val="inEnd"/>
          <c:showLegendKey val="0"/>
          <c:showVal val="1"/>
          <c:showCatName val="0"/>
          <c:showSerName val="0"/>
          <c:showPercent val="0"/>
          <c:showBubbleSize val="0"/>
        </c:dLbls>
        <c:gapWidth val="65"/>
        <c:axId val="396134880"/>
        <c:axId val="396135536"/>
      </c:barChart>
      <c:catAx>
        <c:axId val="39613488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solidFill>
                <a:latin typeface="+mn-lt"/>
                <a:ea typeface="+mn-ea"/>
                <a:cs typeface="+mn-cs"/>
              </a:defRPr>
            </a:pPr>
            <a:endParaRPr lang="en-US"/>
          </a:p>
        </c:txPr>
        <c:crossAx val="396135536"/>
        <c:crosses val="autoZero"/>
        <c:auto val="1"/>
        <c:lblAlgn val="ctr"/>
        <c:lblOffset val="100"/>
        <c:noMultiLvlLbl val="0"/>
      </c:catAx>
      <c:valAx>
        <c:axId val="39613553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minorGridlines>
          <c:spPr>
            <a:ln>
              <a:gradFill>
                <a:gsLst>
                  <a:gs pos="100000">
                    <a:schemeClr val="dk1">
                      <a:lumMod val="95000"/>
                      <a:lumOff val="5000"/>
                      <a:alpha val="42000"/>
                    </a:schemeClr>
                  </a:gs>
                  <a:gs pos="0">
                    <a:schemeClr val="lt1">
                      <a:lumMod val="75000"/>
                      <a:alpha val="36000"/>
                    </a:schemeClr>
                  </a:gs>
                </a:gsLst>
                <a:lin ang="5400000" scaled="0"/>
              </a:gradFill>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9613488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[Harshada Dashboard new.xlsx]Line chart!PivotTable2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b="1">
                <a:solidFill>
                  <a:schemeClr val="tx1"/>
                </a:solidFill>
              </a:rPr>
              <a:t>Monthly Sales Trend</a:t>
            </a:r>
          </a:p>
        </c:rich>
      </c:tx>
      <c:layout>
        <c:manualLayout>
          <c:xMode val="edge"/>
          <c:yMode val="edge"/>
          <c:x val="0.26260601772677156"/>
          <c:y val="3.7037024692905159E-2"/>
        </c:manualLayout>
      </c:layout>
      <c:overlay val="0"/>
      <c:spPr>
        <a:solidFill>
          <a:schemeClr val="accent2"/>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'Line chart'!$A$4:$A$7</c:f>
              <c:strCache>
                <c:ptCount val="4"/>
                <c:pt idx="0">
                  <c:v>Jan</c:v>
                </c:pt>
                <c:pt idx="1">
                  <c:v>Feb</c:v>
                </c:pt>
                <c:pt idx="2">
                  <c:v>Mar</c:v>
                </c:pt>
                <c:pt idx="3">
                  <c:v>Apr</c:v>
                </c:pt>
              </c:strCache>
            </c:strRef>
          </c:cat>
          <c:val>
            <c:numRef>
              <c:f>'Line chart'!$B$4:$B$7</c:f>
              <c:numCache>
                <c:formatCode>General</c:formatCode>
                <c:ptCount val="4"/>
                <c:pt idx="0">
                  <c:v>388560</c:v>
                </c:pt>
                <c:pt idx="1">
                  <c:v>414560</c:v>
                </c:pt>
                <c:pt idx="2">
                  <c:v>328240</c:v>
                </c:pt>
                <c:pt idx="3">
                  <c:v>18340</c:v>
                </c:pt>
              </c:numCache>
            </c:numRef>
          </c:val>
          <c:smooth val="0"/>
          <c:extLst>
            <c:ext xmlns:c16="http://schemas.microsoft.com/office/drawing/2014/chart" uri="{C3380CC4-5D6E-409C-BE32-E72D297353CC}">
              <c16:uniqueId val="{00000002-1596-42C5-A2DB-95B30283F4B1}"/>
            </c:ext>
          </c:extLst>
        </c:ser>
        <c:dLbls>
          <c:dLblPos val="ctr"/>
          <c:showLegendKey val="0"/>
          <c:showVal val="1"/>
          <c:showCatName val="0"/>
          <c:showSerName val="0"/>
          <c:showPercent val="0"/>
          <c:showBubbleSize val="0"/>
        </c:dLbls>
        <c:marker val="1"/>
        <c:smooth val="0"/>
        <c:axId val="468657584"/>
        <c:axId val="468657256"/>
      </c:lineChart>
      <c:catAx>
        <c:axId val="4686575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68657256"/>
        <c:crosses val="autoZero"/>
        <c:auto val="1"/>
        <c:lblAlgn val="ctr"/>
        <c:lblOffset val="100"/>
        <c:noMultiLvlLbl val="0"/>
      </c:catAx>
      <c:valAx>
        <c:axId val="46865725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minorGridlines>
          <c:spPr>
            <a:ln>
              <a:gradFill>
                <a:gsLst>
                  <a:gs pos="100000">
                    <a:schemeClr val="dk1">
                      <a:lumMod val="95000"/>
                      <a:lumOff val="5000"/>
                      <a:alpha val="42000"/>
                    </a:schemeClr>
                  </a:gs>
                  <a:gs pos="0">
                    <a:schemeClr val="lt1">
                      <a:lumMod val="75000"/>
                      <a:alpha val="36000"/>
                    </a:schemeClr>
                  </a:gs>
                </a:gsLst>
                <a:lin ang="5400000" scaled="0"/>
              </a:gradFill>
            </a:ln>
            <a:effectLst/>
          </c:spPr>
        </c:minorGridlines>
        <c:numFmt formatCode="General" sourceLinked="1"/>
        <c:majorTickMark val="none"/>
        <c:minorTickMark val="none"/>
        <c:tickLblPos val="nextTo"/>
        <c:crossAx val="4686575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rgbClr val="50323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[Harshada Dashboard new.xlsx]Bar chart 2!PivotTable3</c:name>
    <c:fmtId val="3"/>
  </c:pivotSource>
  <c:chart>
    <c:title>
      <c:tx>
        <c:rich>
          <a:bodyPr rot="0" spcFirstLastPara="1" vertOverflow="ellipsis" vert="horz" wrap="square" anchor="ctr" anchorCtr="1"/>
          <a:lstStyle/>
          <a:p>
            <a:pPr>
              <a:defRPr sz="1400" b="1" i="0" u="none" strike="noStrike" kern="1200" cap="none" baseline="0">
                <a:solidFill>
                  <a:schemeClr val="dk1"/>
                </a:solidFill>
                <a:latin typeface="+mn-lt"/>
                <a:ea typeface="+mn-ea"/>
                <a:cs typeface="+mn-cs"/>
              </a:defRPr>
            </a:pPr>
            <a:r>
              <a:rPr lang="en-US"/>
              <a:t>Product Wise Sales</a:t>
            </a:r>
          </a:p>
        </c:rich>
      </c:tx>
      <c:layout>
        <c:manualLayout>
          <c:xMode val="edge"/>
          <c:yMode val="edge"/>
          <c:x val="0.31964612960487099"/>
          <c:y val="3.2410881543545135E-2"/>
        </c:manualLayout>
      </c:layout>
      <c:overlay val="0"/>
      <c:spPr>
        <a:solidFill>
          <a:schemeClr val="accent2"/>
        </a:solidFill>
        <a:ln w="6350" cap="flat" cmpd="sng" algn="ctr">
          <a:solidFill>
            <a:schemeClr val="accent2"/>
          </a:solidFill>
          <a:prstDash val="solid"/>
          <a:miter lim="800000"/>
        </a:ln>
        <a:effectLst/>
      </c:spPr>
      <c:txPr>
        <a:bodyPr rot="0" spcFirstLastPara="1" vertOverflow="ellipsis" vert="horz" wrap="square" anchor="ctr" anchorCtr="1"/>
        <a:lstStyle/>
        <a:p>
          <a:pPr>
            <a:defRPr sz="1400" b="1" i="0" u="none" strike="noStrike" kern="1200" cap="none" baseline="0">
              <a:solidFill>
                <a:schemeClr val="dk1"/>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barChart>
        <c:barDir val="bar"/>
        <c:grouping val="clustered"/>
        <c:varyColors val="0"/>
        <c:ser>
          <c:idx val="0"/>
          <c:order val="0"/>
          <c:tx>
            <c:strRef>
              <c:f>'Bar chart 2'!$B$3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'Bar chart 2'!$A$4:$A$11</c:f>
              <c:strCache>
                <c:ptCount val="8"/>
                <c:pt idx="0">
                  <c:v>Shoes</c:v>
                </c:pt>
                <c:pt idx="1">
                  <c:v>Jeans</c:v>
                </c:pt>
                <c:pt idx="2">
                  <c:v>Kurti</c:v>
                </c:pt>
                <c:pt idx="3">
                  <c:v>Oil</c:v>
                </c:pt>
                <c:pt idx="4">
                  <c:v>Rice</c:v>
                </c:pt>
                <c:pt idx="5">
                  <c:v>Sandals</c:v>
                </c:pt>
                <c:pt idx="6">
                  <c:v>Saree</c:v>
                </c:pt>
                <c:pt idx="7">
                  <c:v>Soap</c:v>
                </c:pt>
              </c:strCache>
            </c:strRef>
          </c:cat>
          <c:val>
            <c:numRef>
              <c:f>'Bar chart 2'!$B$4:$B$11</c:f>
              <c:numCache>
                <c:formatCode>General</c:formatCode>
                <c:ptCount val="8"/>
                <c:pt idx="0">
                  <c:v>280000</c:v>
                </c:pt>
                <c:pt idx="1">
                  <c:v>196200</c:v>
                </c:pt>
                <c:pt idx="2">
                  <c:v>106800</c:v>
                </c:pt>
                <c:pt idx="3">
                  <c:v>32940</c:v>
                </c:pt>
                <c:pt idx="4">
                  <c:v>6780</c:v>
                </c:pt>
                <c:pt idx="5">
                  <c:v>114000</c:v>
                </c:pt>
                <c:pt idx="6">
                  <c:v>409500</c:v>
                </c:pt>
                <c:pt idx="7">
                  <c:v>3480</c:v>
                </c:pt>
              </c:numCache>
            </c:numRef>
          </c:val>
          <c:extLst>
            <c:ext xmlns:c16="http://schemas.microsoft.com/office/drawing/2014/chart" uri="{C3380CC4-5D6E-409C-BE32-E72D297353CC}">
              <c16:uniqueId val="{00000000-26F4-4D77-86B7-461F001E9B82}"/>
            </c:ext>
          </c:extLst>
        </c:ser>
        <c:dLbls>
          <c:showLegendKey val="0"/>
          <c:showVal val="0"/>
          <c:showCatName val="0"/>
          <c:showSerName val="0"/>
          <c:showPercent val="0"/>
          <c:showBubbleSize val="0"/>
        </c:dLbls>
        <c:gapWidth val="182"/>
        <c:overlap val="-50"/>
        <c:axId val="468649712"/>
        <c:axId val="468647744"/>
      </c:barChart>
      <c:catAx>
        <c:axId val="46864971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minorGridlines>
          <c: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68647744"/>
        <c:crosses val="autoZero"/>
        <c:auto val="1"/>
        <c:lblAlgn val="ctr"/>
        <c:lblOffset val="100"/>
        <c:noMultiLvlLbl val="0"/>
      </c:catAx>
      <c:valAx>
        <c:axId val="468647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68649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[Harshada Dashboard new.xlsx]Pie chart!PivotTable2</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600" b="1">
                <a:latin typeface="+mn-lt"/>
              </a:rPr>
              <a:t>CATEGORY WISE SALES</a:t>
            </a:r>
          </a:p>
        </c:rich>
      </c:tx>
      <c:layout>
        <c:manualLayout>
          <c:xMode val="edge"/>
          <c:yMode val="edge"/>
          <c:x val="0.51003213129089497"/>
          <c:y val="5.3859583212388699E-2"/>
        </c:manualLayout>
      </c:layout>
      <c:overlay val="0"/>
      <c:spPr>
        <a:solidFill>
          <a:schemeClr val="bg2">
            <a:lumMod val="90000"/>
          </a:schemeClr>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dLbl>
          <c:idx val="0"/>
          <c:tx>
            <c:rich>
              <a:bodyPr/>
              <a:lstStyle/>
              <a:p>
                <a:fld id="{358D946D-8CED-4BC1-BD08-DED2116399EC}" type="CATEGORYNAME">
                  <a:rPr lang="en-US"/>
                  <a:pPr/>
                  <a:t>[CATEGORY NAME]</a:t>
                </a:fld>
                <a:r>
                  <a:rPr lang="en-US"/>
                  <a:t>
0.15%</a:t>
                </a: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pivotFmt>
      <c:pivotFmt>
        <c:idx val="4"/>
      </c:pivotFmt>
      <c:pivotFmt>
        <c:idx val="5"/>
      </c:pivotFmt>
      <c:pivotFmt>
        <c:idx val="6"/>
      </c:pivotFmt>
      <c:pivotFmt>
        <c:idx val="7"/>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manualLayout>
          <c:layoutTarget val="inner"/>
          <c:xMode val="edge"/>
          <c:yMode val="edge"/>
          <c:x val="0.26827721002959737"/>
          <c:y val="0.22489337659675768"/>
          <c:w val="0.3443160030528099"/>
          <c:h val="0.66164995043974661"/>
        </c:manualLayout>
      </c:layout>
      <c:pieChart>
        <c:varyColors val="1"/>
        <c:ser>
          <c:idx val="0"/>
          <c:order val="0"/>
          <c:tx>
            <c:strRef>
              <c:f>'Pie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15-4A41-8FA1-5C3292B53D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15-4A41-8FA1-5C3292B53DA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015-4A41-8FA1-5C3292B53DA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015-4A41-8FA1-5C3292B53DA8}"/>
              </c:ext>
            </c:extLst>
          </c:dPt>
          <c:cat>
            <c:strRef>
              <c:f>'Pie chart'!$A$4:$A$7</c:f>
              <c:strCache>
                <c:ptCount val="4"/>
                <c:pt idx="0">
                  <c:v>Apparel</c:v>
                </c:pt>
                <c:pt idx="1">
                  <c:v>FMCG</c:v>
                </c:pt>
                <c:pt idx="2">
                  <c:v>Footwear</c:v>
                </c:pt>
                <c:pt idx="3">
                  <c:v>Grocery</c:v>
                </c:pt>
              </c:strCache>
            </c:strRef>
          </c:cat>
          <c:val>
            <c:numRef>
              <c:f>'Pie chart'!$B$4:$B$7</c:f>
              <c:numCache>
                <c:formatCode>General</c:formatCode>
                <c:ptCount val="4"/>
                <c:pt idx="0">
                  <c:v>712500</c:v>
                </c:pt>
                <c:pt idx="1">
                  <c:v>3480</c:v>
                </c:pt>
                <c:pt idx="2">
                  <c:v>394000</c:v>
                </c:pt>
                <c:pt idx="3">
                  <c:v>39720</c:v>
                </c:pt>
              </c:numCache>
            </c:numRef>
          </c:val>
          <c:extLst>
            <c:ext xmlns:c16="http://schemas.microsoft.com/office/drawing/2014/chart" uri="{C3380CC4-5D6E-409C-BE32-E72D297353CC}">
              <c16:uniqueId val="{00000008-9015-4A41-8FA1-5C3292B53DA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[Harshada Dashboard new.xlsx]Column chart!PivotTable1</c:name>
    <c:fmtId val="6"/>
  </c:pivotSource>
  <c:chart>
    <c:title>
      <c:tx>
        <c:rich>
          <a:bodyPr rot="0" spcFirstLastPara="1" vertOverflow="ellipsis" vert="horz" wrap="square" anchor="ctr" anchorCtr="1"/>
          <a:lstStyle/>
          <a:p>
            <a:pPr>
              <a:defRPr sz="1600" b="1" i="0" u="none" strike="noStrike" kern="1200" cap="all" spc="50" baseline="0">
                <a:solidFill>
                  <a:srgbClr val="002060"/>
                </a:solidFill>
                <a:latin typeface="+mn-lt"/>
                <a:ea typeface="+mn-ea"/>
                <a:cs typeface="+mn-cs"/>
              </a:defRPr>
            </a:pPr>
            <a:r>
              <a:rPr lang="en-US" sz="1600" b="1">
                <a:solidFill>
                  <a:srgbClr val="002060"/>
                </a:solidFill>
                <a:latin typeface="+mn-lt"/>
              </a:rPr>
              <a:t>STORE WISE SALES</a:t>
            </a:r>
          </a:p>
        </c:rich>
      </c:tx>
      <c:layout>
        <c:manualLayout>
          <c:xMode val="edge"/>
          <c:yMode val="edge"/>
          <c:x val="0.59048238674303111"/>
          <c:y val="5.3529414905230457E-2"/>
        </c:manualLayout>
      </c:layout>
      <c:overlay val="0"/>
      <c:spPr>
        <a:solidFill>
          <a:schemeClr val="bg2">
            <a:lumMod val="90000"/>
          </a:schemeClr>
        </a:solidFill>
        <a:ln>
          <a:noFill/>
        </a:ln>
        <a:effectLst/>
      </c:spPr>
      <c:txPr>
        <a:bodyPr rot="0" spcFirstLastPara="1" vertOverflow="ellipsis" vert="horz" wrap="square" anchor="ctr" anchorCtr="1"/>
        <a:lstStyle/>
        <a:p>
          <a:pPr>
            <a:defRPr sz="1600" b="1" i="0" u="none" strike="noStrike" kern="1200" cap="all" spc="50" baseline="0">
              <a:solidFill>
                <a:srgbClr val="002060"/>
              </a:solidFill>
              <a:latin typeface="+mn-lt"/>
              <a:ea typeface="+mn-ea"/>
              <a:cs typeface="+mn-cs"/>
            </a:defRPr>
          </a:pPr>
          <a:endParaRPr lang="en-US"/>
        </a:p>
      </c:txPr>
    </c:title>
    <c:autoTitleDeleted val="0"/>
    <c:pivotFmts>
      <c:pivotFmt>
        <c:idx val="0"/>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s>
    <c:plotArea>
      <c:layout/>
      <c:barChart>
        <c:barDir val="col"/>
        <c:grouping val="clustered"/>
        <c:varyColors val="0"/>
        <c:ser>
          <c:idx val="0"/>
          <c:order val="0"/>
          <c:tx>
            <c:strRef>
              <c:f>'Column chart'!$B$3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'Column chart'!$A$4:$A$7</c:f>
              <c:strCache>
                <c:ptCount val="4"/>
                <c:pt idx="0">
                  <c:v>City Mart</c:v>
                </c:pt>
                <c:pt idx="1">
                  <c:v>Mega Store</c:v>
                </c:pt>
                <c:pt idx="2">
                  <c:v>Smart Bazaar</c:v>
                </c:pt>
                <c:pt idx="3">
                  <c:v>Vrinda Store</c:v>
                </c:pt>
              </c:strCache>
            </c:strRef>
          </c:cat>
          <c:val>
            <c:numRef>
              <c:f>'Column chart'!$B$4:$B$7</c:f>
              <c:numCache>
                <c:formatCode>General</c:formatCode>
                <c:ptCount val="4"/>
                <c:pt idx="0">
                  <c:v>271500</c:v>
                </c:pt>
                <c:pt idx="1">
                  <c:v>269740</c:v>
                </c:pt>
                <c:pt idx="2">
                  <c:v>312780</c:v>
                </c:pt>
                <c:pt idx="3">
                  <c:v>295680</c:v>
                </c:pt>
              </c:numCache>
            </c:numRef>
          </c:val>
          <c:extLst>
            <c:ext xmlns:c16="http://schemas.microsoft.com/office/drawing/2014/chart" uri="{C3380CC4-5D6E-409C-BE32-E72D297353CC}">
              <c16:uniqueId val="{00000000-B20B-40A4-9B83-BAF66F808AE3}"/>
            </c:ext>
          </c:extLst>
        </c:ser>
        <c:dLbls>
          <c:showLegendKey val="0"/>
          <c:showVal val="0"/>
          <c:showCatName val="0"/>
          <c:showSerName val="0"/>
          <c:showPercent val="0"/>
          <c:showBubbleSize val="0"/>
        </c:dLbls>
        <c:gapWidth val="355"/>
        <c:overlap val="-70"/>
        <c:axId val="407584128"/>
        <c:axId val="407580520"/>
      </c:barChart>
      <c:catAx>
        <c:axId val="40758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580520"/>
        <c:crosses val="autoZero"/>
        <c:auto val="1"/>
        <c:lblAlgn val="ctr"/>
        <c:lblOffset val="100"/>
        <c:noMultiLvlLbl val="0"/>
      </c:catAx>
      <c:valAx>
        <c:axId val="407580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58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[Harshada Dashboard new.xlsx]Bar chart!PivotTable1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2060"/>
                </a:solidFill>
                <a:latin typeface="+mn-lt"/>
              </a:rPr>
              <a:t>PAYMENT</a:t>
            </a:r>
            <a:r>
              <a:rPr lang="en-US" sz="1600" b="1" baseline="0">
                <a:solidFill>
                  <a:srgbClr val="002060"/>
                </a:solidFill>
                <a:latin typeface="+mn-lt"/>
              </a:rPr>
              <a:t> MODE ANALYSIS</a:t>
            </a:r>
            <a:endParaRPr lang="en-US" sz="1600" b="1">
              <a:solidFill>
                <a:srgbClr val="002060"/>
              </a:solidFill>
              <a:latin typeface="+mn-lt"/>
            </a:endParaRPr>
          </a:p>
        </c:rich>
      </c:tx>
      <c:layout>
        <c:manualLayout>
          <c:xMode val="edge"/>
          <c:yMode val="edge"/>
          <c:x val="0.47906269441947297"/>
          <c:y val="3.7036911782319826E-2"/>
        </c:manualLayout>
      </c:layout>
      <c:overlay val="0"/>
      <c:spPr>
        <a:solidFill>
          <a:schemeClr val="bg2">
            <a:lumMod val="9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bar"/>
        <c:grouping val="clustered"/>
        <c:varyColors val="0"/>
        <c:ser>
          <c:idx val="0"/>
          <c:order val="0"/>
          <c:tx>
            <c:strRef>
              <c:f>'Bar chart'!$B$3</c:f>
              <c:strCache>
                <c:ptCount val="1"/>
                <c:pt idx="0">
                  <c:v>Total</c:v>
                </c:pt>
              </c:strCache>
            </c:strRef>
          </c:tx>
          <c:spPr>
            <a:solidFill>
              <a:schemeClr val="accent1"/>
            </a:solidFill>
            <a:ln>
              <a:noFill/>
            </a:ln>
            <a:effectLst/>
          </c:spPr>
          <c:invertIfNegative val="0"/>
          <c:dLbls>
            <c:delete val="1"/>
          </c:dLbls>
          <c:cat>
            <c:strRef>
              <c:f>'Bar chart'!$A$4:$A$6</c:f>
              <c:strCache>
                <c:ptCount val="3"/>
                <c:pt idx="0">
                  <c:v>Card</c:v>
                </c:pt>
                <c:pt idx="1">
                  <c:v>Cash</c:v>
                </c:pt>
                <c:pt idx="2">
                  <c:v>UPI</c:v>
                </c:pt>
              </c:strCache>
            </c:strRef>
          </c:cat>
          <c:val>
            <c:numRef>
              <c:f>'Bar chart'!$B$4:$B$6</c:f>
              <c:numCache>
                <c:formatCode>General</c:formatCode>
                <c:ptCount val="3"/>
                <c:pt idx="0">
                  <c:v>374520</c:v>
                </c:pt>
                <c:pt idx="1">
                  <c:v>394720</c:v>
                </c:pt>
                <c:pt idx="2">
                  <c:v>380460</c:v>
                </c:pt>
              </c:numCache>
            </c:numRef>
          </c:val>
          <c:extLst>
            <c:ext xmlns:c16="http://schemas.microsoft.com/office/drawing/2014/chart" uri="{C3380CC4-5D6E-409C-BE32-E72D297353CC}">
              <c16:uniqueId val="{00000000-4958-4AD6-8CF1-33519B24EA87}"/>
            </c:ext>
          </c:extLst>
        </c:ser>
        <c:dLbls>
          <c:dLblPos val="inEnd"/>
          <c:showLegendKey val="0"/>
          <c:showVal val="1"/>
          <c:showCatName val="0"/>
          <c:showSerName val="0"/>
          <c:showPercent val="0"/>
          <c:showBubbleSize val="0"/>
        </c:dLbls>
        <c:gapWidth val="182"/>
        <c:axId val="396134880"/>
        <c:axId val="396135536"/>
      </c:barChart>
      <c:catAx>
        <c:axId val="396134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135536"/>
        <c:crosses val="autoZero"/>
        <c:auto val="1"/>
        <c:lblAlgn val="ctr"/>
        <c:lblOffset val="100"/>
        <c:noMultiLvlLbl val="0"/>
      </c:catAx>
      <c:valAx>
        <c:axId val="396135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13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[Harshada Dashboard new.xlsx]Line chart!PivotTable2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2060"/>
                </a:solidFill>
                <a:latin typeface="+mn-lt"/>
              </a:rPr>
              <a:t>MONTHLY</a:t>
            </a:r>
            <a:r>
              <a:rPr lang="en-US" sz="1600" b="1" baseline="0">
                <a:solidFill>
                  <a:srgbClr val="002060"/>
                </a:solidFill>
                <a:latin typeface="+mn-lt"/>
              </a:rPr>
              <a:t> SALES TREND</a:t>
            </a:r>
            <a:endParaRPr lang="en-US" sz="1600" b="1">
              <a:solidFill>
                <a:srgbClr val="002060"/>
              </a:solidFill>
              <a:latin typeface="+mn-lt"/>
            </a:endParaRPr>
          </a:p>
        </c:rich>
      </c:tx>
      <c:layout>
        <c:manualLayout>
          <c:xMode val="edge"/>
          <c:yMode val="edge"/>
          <c:x val="0.52911946103913399"/>
          <c:y val="3.7036919088821722E-2"/>
        </c:manualLayout>
      </c:layout>
      <c:overlay val="0"/>
      <c:spPr>
        <a:solidFill>
          <a:schemeClr val="bg2">
            <a:lumMod val="9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'Line chart'!$B$3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elete val="1"/>
          </c:dLbls>
          <c:cat>
            <c:strRef>
              <c:f>'Line chart'!$A$4:$A$7</c:f>
              <c:strCache>
                <c:ptCount val="4"/>
                <c:pt idx="0">
                  <c:v>Jan</c:v>
                </c:pt>
                <c:pt idx="1">
                  <c:v>Feb</c:v>
                </c:pt>
                <c:pt idx="2">
                  <c:v>Mar</c:v>
                </c:pt>
                <c:pt idx="3">
                  <c:v>Apr</c:v>
                </c:pt>
              </c:strCache>
            </c:strRef>
          </c:cat>
          <c:val>
            <c:numRef>
              <c:f>'Line chart'!$B$4:$B$7</c:f>
              <c:numCache>
                <c:formatCode>General</c:formatCode>
                <c:ptCount val="4"/>
                <c:pt idx="0">
                  <c:v>388560</c:v>
                </c:pt>
                <c:pt idx="1">
                  <c:v>414560</c:v>
                </c:pt>
                <c:pt idx="2">
                  <c:v>328240</c:v>
                </c:pt>
                <c:pt idx="3">
                  <c:v>18340</c:v>
                </c:pt>
              </c:numCache>
            </c:numRef>
          </c:val>
          <c:smooth val="0"/>
          <c:extLst>
            <c:ext xmlns:c16="http://schemas.microsoft.com/office/drawing/2014/chart" uri="{C3380CC4-5D6E-409C-BE32-E72D297353CC}">
              <c16:uniqueId val="{00000000-6A35-4258-B0FD-84B033193CB6}"/>
            </c:ext>
          </c:extLst>
        </c:ser>
        <c:dLbls>
          <c:dLblPos val="ctr"/>
          <c:showLegendKey val="0"/>
          <c:showVal val="1"/>
          <c:showCatName val="0"/>
          <c:showSerName val="0"/>
          <c:showPercent val="0"/>
          <c:showBubbleSize val="0"/>
        </c:dLbls>
        <c:marker val="1"/>
        <c:smooth val="0"/>
        <c:axId val="468657584"/>
        <c:axId val="468657256"/>
      </c:lineChart>
      <c:catAx>
        <c:axId val="46865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657256"/>
        <c:crosses val="autoZero"/>
        <c:auto val="1"/>
        <c:lblAlgn val="ctr"/>
        <c:lblOffset val="100"/>
        <c:noMultiLvlLbl val="0"/>
      </c:catAx>
      <c:valAx>
        <c:axId val="468657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657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[Harshada Dashboard new.xlsx]Pie chart!PivotTable2</c:name>
    <c:fmtId val="1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600" b="1">
                <a:latin typeface="+mn-lt"/>
              </a:rPr>
              <a:t>CATEGORY WISE SALES</a:t>
            </a:r>
          </a:p>
        </c:rich>
      </c:tx>
      <c:layout>
        <c:manualLayout>
          <c:xMode val="edge"/>
          <c:yMode val="edge"/>
          <c:x val="0.51003213129089497"/>
          <c:y val="5.3859583212388699E-2"/>
        </c:manualLayout>
      </c:layout>
      <c:overlay val="0"/>
      <c:spPr>
        <a:solidFill>
          <a:schemeClr val="bg2">
            <a:lumMod val="90000"/>
          </a:schemeClr>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dLbl>
          <c:idx val="0"/>
          <c:tx>
            <c:rich>
              <a:bodyPr/>
              <a:lstStyle/>
              <a:p>
                <a:fld id="{358D946D-8CED-4BC1-BD08-DED2116399EC}" type="CATEGORYNAME">
                  <a:rPr lang="en-US"/>
                  <a:pPr/>
                  <a:t>[CATEGORY NAME]</a:t>
                </a:fld>
                <a:r>
                  <a:rPr lang="en-US"/>
                  <a:t>
0.15%</a:t>
                </a: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pivotFmt>
      <c:pivotFmt>
        <c:idx val="4"/>
      </c:pivotFmt>
      <c:pivotFmt>
        <c:idx val="5"/>
      </c:pivotFmt>
      <c:pivotFmt>
        <c:idx val="6"/>
      </c:pivotFmt>
      <c:pivotFmt>
        <c:idx val="7"/>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s>
    <c:plotArea>
      <c:layout>
        <c:manualLayout>
          <c:layoutTarget val="inner"/>
          <c:xMode val="edge"/>
          <c:yMode val="edge"/>
          <c:x val="0.26827721002959737"/>
          <c:y val="0.22489337659675768"/>
          <c:w val="0.3443160030528099"/>
          <c:h val="0.66164995043974661"/>
        </c:manualLayout>
      </c:layout>
      <c:pieChart>
        <c:varyColors val="1"/>
        <c:ser>
          <c:idx val="0"/>
          <c:order val="0"/>
          <c:tx>
            <c:strRef>
              <c:f>'Pie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749-4433-97E4-30DD88E6EA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49-4433-97E4-30DD88E6EA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749-4433-97E4-30DD88E6EA4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749-4433-97E4-30DD88E6EA4D}"/>
              </c:ext>
            </c:extLst>
          </c:dPt>
          <c:cat>
            <c:strRef>
              <c:f>'Pie chart'!$A$4:$A$7</c:f>
              <c:strCache>
                <c:ptCount val="4"/>
                <c:pt idx="0">
                  <c:v>Apparel</c:v>
                </c:pt>
                <c:pt idx="1">
                  <c:v>FMCG</c:v>
                </c:pt>
                <c:pt idx="2">
                  <c:v>Footwear</c:v>
                </c:pt>
                <c:pt idx="3">
                  <c:v>Grocery</c:v>
                </c:pt>
              </c:strCache>
            </c:strRef>
          </c:cat>
          <c:val>
            <c:numRef>
              <c:f>'Pie chart'!$B$4:$B$7</c:f>
              <c:numCache>
                <c:formatCode>General</c:formatCode>
                <c:ptCount val="4"/>
                <c:pt idx="0">
                  <c:v>712500</c:v>
                </c:pt>
                <c:pt idx="1">
                  <c:v>3480</c:v>
                </c:pt>
                <c:pt idx="2">
                  <c:v>394000</c:v>
                </c:pt>
                <c:pt idx="3">
                  <c:v>39720</c:v>
                </c:pt>
              </c:numCache>
            </c:numRef>
          </c:val>
          <c:extLst>
            <c:ext xmlns:c16="http://schemas.microsoft.com/office/drawing/2014/chart" uri="{C3380CC4-5D6E-409C-BE32-E72D297353CC}">
              <c16:uniqueId val="{00000008-8749-4433-97E4-30DD88E6EA4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[Harshada Dashboard new.xlsx]Column chart!PivotTable1</c:name>
    <c:fmtId val="8"/>
  </c:pivotSource>
  <c:chart>
    <c:title>
      <c:tx>
        <c:rich>
          <a:bodyPr rot="0" spcFirstLastPara="1" vertOverflow="ellipsis" vert="horz" wrap="square" anchor="ctr" anchorCtr="1"/>
          <a:lstStyle/>
          <a:p>
            <a:pPr>
              <a:defRPr sz="1600" b="1" i="0" u="none" strike="noStrike" kern="1200" cap="all" spc="50" baseline="0">
                <a:solidFill>
                  <a:srgbClr val="002060"/>
                </a:solidFill>
                <a:latin typeface="+mn-lt"/>
                <a:ea typeface="+mn-ea"/>
                <a:cs typeface="+mn-cs"/>
              </a:defRPr>
            </a:pPr>
            <a:r>
              <a:rPr lang="en-US" sz="1600" b="1">
                <a:solidFill>
                  <a:srgbClr val="002060"/>
                </a:solidFill>
                <a:latin typeface="+mn-lt"/>
              </a:rPr>
              <a:t>STORE WISE SALES</a:t>
            </a:r>
          </a:p>
        </c:rich>
      </c:tx>
      <c:layout>
        <c:manualLayout>
          <c:xMode val="edge"/>
          <c:yMode val="edge"/>
          <c:x val="0.59048238674303111"/>
          <c:y val="5.3529414905230457E-2"/>
        </c:manualLayout>
      </c:layout>
      <c:overlay val="0"/>
      <c:spPr>
        <a:solidFill>
          <a:schemeClr val="bg2">
            <a:lumMod val="90000"/>
          </a:schemeClr>
        </a:solidFill>
        <a:ln>
          <a:noFill/>
        </a:ln>
        <a:effectLst/>
      </c:spPr>
      <c:txPr>
        <a:bodyPr rot="0" spcFirstLastPara="1" vertOverflow="ellipsis" vert="horz" wrap="square" anchor="ctr" anchorCtr="1"/>
        <a:lstStyle/>
        <a:p>
          <a:pPr>
            <a:defRPr sz="1600" b="1" i="0" u="none" strike="noStrike" kern="1200" cap="all" spc="50" baseline="0">
              <a:solidFill>
                <a:srgbClr val="002060"/>
              </a:solidFill>
              <a:latin typeface="+mn-lt"/>
              <a:ea typeface="+mn-ea"/>
              <a:cs typeface="+mn-cs"/>
            </a:defRPr>
          </a:pPr>
          <a:endParaRPr lang="en-US"/>
        </a:p>
      </c:txPr>
    </c:title>
    <c:autoTitleDeleted val="0"/>
    <c:pivotFmts>
      <c:pivotFmt>
        <c:idx val="0"/>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s>
    <c:plotArea>
      <c:layout/>
      <c:barChart>
        <c:barDir val="col"/>
        <c:grouping val="clustered"/>
        <c:varyColors val="0"/>
        <c:ser>
          <c:idx val="0"/>
          <c:order val="0"/>
          <c:tx>
            <c:strRef>
              <c:f>'Column chart'!$B$3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'Column chart'!$A$4:$A$7</c:f>
              <c:strCache>
                <c:ptCount val="4"/>
                <c:pt idx="0">
                  <c:v>City Mart</c:v>
                </c:pt>
                <c:pt idx="1">
                  <c:v>Mega Store</c:v>
                </c:pt>
                <c:pt idx="2">
                  <c:v>Smart Bazaar</c:v>
                </c:pt>
                <c:pt idx="3">
                  <c:v>Vrinda Store</c:v>
                </c:pt>
              </c:strCache>
            </c:strRef>
          </c:cat>
          <c:val>
            <c:numRef>
              <c:f>'Column chart'!$B$4:$B$7</c:f>
              <c:numCache>
                <c:formatCode>General</c:formatCode>
                <c:ptCount val="4"/>
                <c:pt idx="0">
                  <c:v>271500</c:v>
                </c:pt>
                <c:pt idx="1">
                  <c:v>269740</c:v>
                </c:pt>
                <c:pt idx="2">
                  <c:v>312780</c:v>
                </c:pt>
                <c:pt idx="3">
                  <c:v>295680</c:v>
                </c:pt>
              </c:numCache>
            </c:numRef>
          </c:val>
          <c:extLst>
            <c:ext xmlns:c16="http://schemas.microsoft.com/office/drawing/2014/chart" uri="{C3380CC4-5D6E-409C-BE32-E72D297353CC}">
              <c16:uniqueId val="{00000000-D672-4E21-808D-F66A86534BC3}"/>
            </c:ext>
          </c:extLst>
        </c:ser>
        <c:dLbls>
          <c:showLegendKey val="0"/>
          <c:showVal val="0"/>
          <c:showCatName val="0"/>
          <c:showSerName val="0"/>
          <c:showPercent val="0"/>
          <c:showBubbleSize val="0"/>
        </c:dLbls>
        <c:gapWidth val="355"/>
        <c:overlap val="-70"/>
        <c:axId val="407584128"/>
        <c:axId val="407580520"/>
      </c:barChart>
      <c:catAx>
        <c:axId val="40758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580520"/>
        <c:crosses val="autoZero"/>
        <c:auto val="1"/>
        <c:lblAlgn val="ctr"/>
        <c:lblOffset val="100"/>
        <c:noMultiLvlLbl val="0"/>
      </c:catAx>
      <c:valAx>
        <c:axId val="407580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58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[Harshada Dashboard new.xlsx]Bar chart!PivotTable1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2060"/>
                </a:solidFill>
                <a:latin typeface="+mn-lt"/>
              </a:rPr>
              <a:t>PAYMENT</a:t>
            </a:r>
            <a:r>
              <a:rPr lang="en-US" sz="1600" b="1" baseline="0">
                <a:solidFill>
                  <a:srgbClr val="002060"/>
                </a:solidFill>
                <a:latin typeface="+mn-lt"/>
              </a:rPr>
              <a:t> MODE ANALYSIS</a:t>
            </a:r>
            <a:endParaRPr lang="en-US" sz="1600" b="1">
              <a:solidFill>
                <a:srgbClr val="002060"/>
              </a:solidFill>
              <a:latin typeface="+mn-lt"/>
            </a:endParaRPr>
          </a:p>
        </c:rich>
      </c:tx>
      <c:layout>
        <c:manualLayout>
          <c:xMode val="edge"/>
          <c:yMode val="edge"/>
          <c:x val="0.47906269441947297"/>
          <c:y val="3.7036911782319826E-2"/>
        </c:manualLayout>
      </c:layout>
      <c:overlay val="0"/>
      <c:spPr>
        <a:solidFill>
          <a:schemeClr val="bg2">
            <a:lumMod val="9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s>
    <c:plotArea>
      <c:layout/>
      <c:barChart>
        <c:barDir val="bar"/>
        <c:grouping val="clustered"/>
        <c:varyColors val="0"/>
        <c:ser>
          <c:idx val="0"/>
          <c:order val="0"/>
          <c:tx>
            <c:strRef>
              <c:f>'Bar chart'!$B$3</c:f>
              <c:strCache>
                <c:ptCount val="1"/>
                <c:pt idx="0">
                  <c:v>Total</c:v>
                </c:pt>
              </c:strCache>
            </c:strRef>
          </c:tx>
          <c:spPr>
            <a:solidFill>
              <a:schemeClr val="accent1"/>
            </a:solidFill>
            <a:ln>
              <a:noFill/>
            </a:ln>
            <a:effectLst/>
          </c:spPr>
          <c:invertIfNegative val="0"/>
          <c:dLbls>
            <c:delete val="1"/>
          </c:dLbls>
          <c:cat>
            <c:strRef>
              <c:f>'Bar chart'!$A$4:$A$6</c:f>
              <c:strCache>
                <c:ptCount val="3"/>
                <c:pt idx="0">
                  <c:v>Card</c:v>
                </c:pt>
                <c:pt idx="1">
                  <c:v>Cash</c:v>
                </c:pt>
                <c:pt idx="2">
                  <c:v>UPI</c:v>
                </c:pt>
              </c:strCache>
            </c:strRef>
          </c:cat>
          <c:val>
            <c:numRef>
              <c:f>'Bar chart'!$B$4:$B$6</c:f>
              <c:numCache>
                <c:formatCode>General</c:formatCode>
                <c:ptCount val="3"/>
                <c:pt idx="0">
                  <c:v>374520</c:v>
                </c:pt>
                <c:pt idx="1">
                  <c:v>394720</c:v>
                </c:pt>
                <c:pt idx="2">
                  <c:v>380460</c:v>
                </c:pt>
              </c:numCache>
            </c:numRef>
          </c:val>
          <c:extLst>
            <c:ext xmlns:c16="http://schemas.microsoft.com/office/drawing/2014/chart" uri="{C3380CC4-5D6E-409C-BE32-E72D297353CC}">
              <c16:uniqueId val="{00000000-6849-46F5-902D-8CAD150A51D5}"/>
            </c:ext>
          </c:extLst>
        </c:ser>
        <c:dLbls>
          <c:dLblPos val="inEnd"/>
          <c:showLegendKey val="0"/>
          <c:showVal val="1"/>
          <c:showCatName val="0"/>
          <c:showSerName val="0"/>
          <c:showPercent val="0"/>
          <c:showBubbleSize val="0"/>
        </c:dLbls>
        <c:gapWidth val="182"/>
        <c:axId val="396134880"/>
        <c:axId val="396135536"/>
      </c:barChart>
      <c:catAx>
        <c:axId val="396134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135536"/>
        <c:crosses val="autoZero"/>
        <c:auto val="1"/>
        <c:lblAlgn val="ctr"/>
        <c:lblOffset val="100"/>
        <c:noMultiLvlLbl val="0"/>
      </c:catAx>
      <c:valAx>
        <c:axId val="396135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13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[Harshada Dashboard new.xlsx]Line chart!PivotTable2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2060"/>
                </a:solidFill>
                <a:latin typeface="+mn-lt"/>
              </a:rPr>
              <a:t>MONTHLY</a:t>
            </a:r>
            <a:r>
              <a:rPr lang="en-US" sz="1600" b="1" baseline="0">
                <a:solidFill>
                  <a:srgbClr val="002060"/>
                </a:solidFill>
                <a:latin typeface="+mn-lt"/>
              </a:rPr>
              <a:t> SALES TREND</a:t>
            </a:r>
            <a:endParaRPr lang="en-US" sz="1600" b="1">
              <a:solidFill>
                <a:srgbClr val="002060"/>
              </a:solidFill>
              <a:latin typeface="+mn-lt"/>
            </a:endParaRPr>
          </a:p>
        </c:rich>
      </c:tx>
      <c:layout>
        <c:manualLayout>
          <c:xMode val="edge"/>
          <c:yMode val="edge"/>
          <c:x val="0.52911946103913399"/>
          <c:y val="3.7036919088821722E-2"/>
        </c:manualLayout>
      </c:layout>
      <c:overlay val="0"/>
      <c:spPr>
        <a:solidFill>
          <a:schemeClr val="bg2">
            <a:lumMod val="9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'Line chart'!$B$3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elete val="1"/>
          </c:dLbls>
          <c:cat>
            <c:strRef>
              <c:f>'Line chart'!$A$4:$A$7</c:f>
              <c:strCache>
                <c:ptCount val="4"/>
                <c:pt idx="0">
                  <c:v>Jan</c:v>
                </c:pt>
                <c:pt idx="1">
                  <c:v>Feb</c:v>
                </c:pt>
                <c:pt idx="2">
                  <c:v>Mar</c:v>
                </c:pt>
                <c:pt idx="3">
                  <c:v>Apr</c:v>
                </c:pt>
              </c:strCache>
            </c:strRef>
          </c:cat>
          <c:val>
            <c:numRef>
              <c:f>'Line chart'!$B$4:$B$7</c:f>
              <c:numCache>
                <c:formatCode>General</c:formatCode>
                <c:ptCount val="4"/>
                <c:pt idx="0">
                  <c:v>388560</c:v>
                </c:pt>
                <c:pt idx="1">
                  <c:v>414560</c:v>
                </c:pt>
                <c:pt idx="2">
                  <c:v>328240</c:v>
                </c:pt>
                <c:pt idx="3">
                  <c:v>18340</c:v>
                </c:pt>
              </c:numCache>
            </c:numRef>
          </c:val>
          <c:smooth val="0"/>
          <c:extLst>
            <c:ext xmlns:c16="http://schemas.microsoft.com/office/drawing/2014/chart" uri="{C3380CC4-5D6E-409C-BE32-E72D297353CC}">
              <c16:uniqueId val="{00000000-F3FE-43B4-A1FF-7907835297FF}"/>
            </c:ext>
          </c:extLst>
        </c:ser>
        <c:dLbls>
          <c:dLblPos val="ctr"/>
          <c:showLegendKey val="0"/>
          <c:showVal val="1"/>
          <c:showCatName val="0"/>
          <c:showSerName val="0"/>
          <c:showPercent val="0"/>
          <c:showBubbleSize val="0"/>
        </c:dLbls>
        <c:marker val="1"/>
        <c:smooth val="0"/>
        <c:axId val="468657584"/>
        <c:axId val="468657256"/>
      </c:lineChart>
      <c:catAx>
        <c:axId val="46865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657256"/>
        <c:crosses val="autoZero"/>
        <c:auto val="1"/>
        <c:lblAlgn val="ctr"/>
        <c:lblOffset val="100"/>
        <c:noMultiLvlLbl val="0"/>
      </c:catAx>
      <c:valAx>
        <c:axId val="468657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657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jpeg"/><Relationship Id="rId5" Type="http://schemas.openxmlformats.org/officeDocument/2006/relationships/chart" Target="../charts/chart10.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image" Target="../media/image1.jpeg"/><Relationship Id="rId4"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5" Type="http://schemas.openxmlformats.org/officeDocument/2006/relationships/image" Target="../media/image1.jpeg"/><Relationship Id="rId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3</xdr:col>
      <xdr:colOff>571499</xdr:colOff>
      <xdr:row>1</xdr:row>
      <xdr:rowOff>38100</xdr:rowOff>
    </xdr:from>
    <xdr:to>
      <xdr:col>10</xdr:col>
      <xdr:colOff>514350</xdr:colOff>
      <xdr:row>15</xdr:row>
      <xdr:rowOff>166687</xdr:rowOff>
    </xdr:to>
    <xdr:graphicFrame macro="">
      <xdr:nvGraphicFramePr>
        <xdr:cNvPr id="2" name="Chart 1">
          <a:extLst>
            <a:ext uri="{FF2B5EF4-FFF2-40B4-BE49-F238E27FC236}">
              <a16:creationId xmlns:a16="http://schemas.microsoft.com/office/drawing/2014/main" id="{E9D70CC7-BE4E-4191-9CE9-9A896016FB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542925</xdr:colOff>
      <xdr:row>2</xdr:row>
      <xdr:rowOff>9525</xdr:rowOff>
    </xdr:from>
    <xdr:to>
      <xdr:col>14</xdr:col>
      <xdr:colOff>542925</xdr:colOff>
      <xdr:row>15</xdr:row>
      <xdr:rowOff>57150</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2EC32488-DD4B-4DCF-9BB4-C0162832DBF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058150" y="390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361950</xdr:colOff>
      <xdr:row>1</xdr:row>
      <xdr:rowOff>66675</xdr:rowOff>
    </xdr:from>
    <xdr:to>
      <xdr:col>18</xdr:col>
      <xdr:colOff>361950</xdr:colOff>
      <xdr:row>14</xdr:row>
      <xdr:rowOff>114300</xdr:rowOff>
    </xdr:to>
    <mc:AlternateContent xmlns:mc="http://schemas.openxmlformats.org/markup-compatibility/2006" xmlns:a14="http://schemas.microsoft.com/office/drawing/2010/main">
      <mc:Choice Requires="a14">
        <xdr:graphicFrame macro="">
          <xdr:nvGraphicFramePr>
            <xdr:cNvPr id="4" name="Total Sales">
              <a:extLst>
                <a:ext uri="{FF2B5EF4-FFF2-40B4-BE49-F238E27FC236}">
                  <a16:creationId xmlns:a16="http://schemas.microsoft.com/office/drawing/2014/main" id="{972AF4DF-1287-4D5E-83A4-2FFD7C74E7B6}"/>
                </a:ext>
              </a:extLst>
            </xdr:cNvPr>
            <xdr:cNvGraphicFramePr/>
          </xdr:nvGraphicFramePr>
          <xdr:xfrm>
            <a:off x="0" y="0"/>
            <a:ext cx="0" cy="0"/>
          </xdr:xfrm>
          <a:graphic>
            <a:graphicData uri="http://schemas.microsoft.com/office/drawing/2010/slicer">
              <sle:slicer xmlns:sle="http://schemas.microsoft.com/office/drawing/2010/slicer" name="Total Sales"/>
            </a:graphicData>
          </a:graphic>
        </xdr:graphicFrame>
      </mc:Choice>
      <mc:Fallback xmlns="">
        <xdr:sp macro="" textlink="">
          <xdr:nvSpPr>
            <xdr:cNvPr id="0" name=""/>
            <xdr:cNvSpPr>
              <a:spLocks noTextEdit="1"/>
            </xdr:cNvSpPr>
          </xdr:nvSpPr>
          <xdr:spPr>
            <a:xfrm>
              <a:off x="10315575" y="2571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295274</xdr:colOff>
      <xdr:row>2</xdr:row>
      <xdr:rowOff>28575</xdr:rowOff>
    </xdr:from>
    <xdr:to>
      <xdr:col>11</xdr:col>
      <xdr:colOff>333375</xdr:colOff>
      <xdr:row>18</xdr:row>
      <xdr:rowOff>109537</xdr:rowOff>
    </xdr:to>
    <xdr:graphicFrame macro="">
      <xdr:nvGraphicFramePr>
        <xdr:cNvPr id="3" name="Chart 2">
          <a:extLst>
            <a:ext uri="{FF2B5EF4-FFF2-40B4-BE49-F238E27FC236}">
              <a16:creationId xmlns:a16="http://schemas.microsoft.com/office/drawing/2014/main" id="{9E73CFBF-8832-4173-A0DA-DFA2BB1B1B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104775</xdr:colOff>
      <xdr:row>3</xdr:row>
      <xdr:rowOff>133350</xdr:rowOff>
    </xdr:from>
    <xdr:to>
      <xdr:col>15</xdr:col>
      <xdr:colOff>104775</xdr:colOff>
      <xdr:row>16</xdr:row>
      <xdr:rowOff>180975</xdr:rowOff>
    </xdr:to>
    <mc:AlternateContent xmlns:mc="http://schemas.openxmlformats.org/markup-compatibility/2006" xmlns:a14="http://schemas.microsoft.com/office/drawing/2010/main">
      <mc:Choice Requires="a14">
        <xdr:graphicFrame macro="">
          <xdr:nvGraphicFramePr>
            <xdr:cNvPr id="2" name="Store Name">
              <a:extLst>
                <a:ext uri="{FF2B5EF4-FFF2-40B4-BE49-F238E27FC236}">
                  <a16:creationId xmlns:a16="http://schemas.microsoft.com/office/drawing/2014/main" id="{A6D09AC3-B26D-4AD6-A239-1A4D8B33BC0B}"/>
                </a:ext>
              </a:extLst>
            </xdr:cNvPr>
            <xdr:cNvGraphicFramePr/>
          </xdr:nvGraphicFramePr>
          <xdr:xfrm>
            <a:off x="0" y="0"/>
            <a:ext cx="0" cy="0"/>
          </xdr:xfrm>
          <a:graphic>
            <a:graphicData uri="http://schemas.microsoft.com/office/drawing/2010/slicer">
              <sle:slicer xmlns:sle="http://schemas.microsoft.com/office/drawing/2010/slicer" name="Store Name"/>
            </a:graphicData>
          </a:graphic>
        </xdr:graphicFrame>
      </mc:Choice>
      <mc:Fallback xmlns="">
        <xdr:sp macro="" textlink="">
          <xdr:nvSpPr>
            <xdr:cNvPr id="0" name=""/>
            <xdr:cNvSpPr>
              <a:spLocks noTextEdit="1"/>
            </xdr:cNvSpPr>
          </xdr:nvSpPr>
          <xdr:spPr>
            <a:xfrm>
              <a:off x="8229600" y="7048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295275</xdr:colOff>
      <xdr:row>3</xdr:row>
      <xdr:rowOff>38100</xdr:rowOff>
    </xdr:from>
    <xdr:to>
      <xdr:col>9</xdr:col>
      <xdr:colOff>600075</xdr:colOff>
      <xdr:row>18</xdr:row>
      <xdr:rowOff>109537</xdr:rowOff>
    </xdr:to>
    <xdr:graphicFrame macro="">
      <xdr:nvGraphicFramePr>
        <xdr:cNvPr id="2" name="Chart 1">
          <a:extLst>
            <a:ext uri="{FF2B5EF4-FFF2-40B4-BE49-F238E27FC236}">
              <a16:creationId xmlns:a16="http://schemas.microsoft.com/office/drawing/2014/main" id="{030ECA97-E11B-45AA-8F5F-567DE14BBE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190500</xdr:colOff>
      <xdr:row>2</xdr:row>
      <xdr:rowOff>152400</xdr:rowOff>
    </xdr:from>
    <xdr:to>
      <xdr:col>14</xdr:col>
      <xdr:colOff>190500</xdr:colOff>
      <xdr:row>16</xdr:row>
      <xdr:rowOff>9525</xdr:rowOff>
    </xdr:to>
    <mc:AlternateContent xmlns:mc="http://schemas.openxmlformats.org/markup-compatibility/2006" xmlns:a14="http://schemas.microsoft.com/office/drawing/2010/main">
      <mc:Choice Requires="a14">
        <xdr:graphicFrame macro="">
          <xdr:nvGraphicFramePr>
            <xdr:cNvPr id="3" name="Payment Mode">
              <a:extLst>
                <a:ext uri="{FF2B5EF4-FFF2-40B4-BE49-F238E27FC236}">
                  <a16:creationId xmlns:a16="http://schemas.microsoft.com/office/drawing/2014/main" id="{C50199B9-AE89-4553-9F61-ACC01A872FFE}"/>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7705725" y="533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357187</xdr:colOff>
      <xdr:row>2</xdr:row>
      <xdr:rowOff>14287</xdr:rowOff>
    </xdr:from>
    <xdr:to>
      <xdr:col>11</xdr:col>
      <xdr:colOff>52387</xdr:colOff>
      <xdr:row>16</xdr:row>
      <xdr:rowOff>90487</xdr:rowOff>
    </xdr:to>
    <xdr:graphicFrame macro="">
      <xdr:nvGraphicFramePr>
        <xdr:cNvPr id="2" name="Chart 1">
          <a:extLst>
            <a:ext uri="{FF2B5EF4-FFF2-40B4-BE49-F238E27FC236}">
              <a16:creationId xmlns:a16="http://schemas.microsoft.com/office/drawing/2014/main" id="{83C1E566-4552-4F80-9938-B7273DB02E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581025</xdr:colOff>
      <xdr:row>3</xdr:row>
      <xdr:rowOff>142876</xdr:rowOff>
    </xdr:from>
    <xdr:to>
      <xdr:col>15</xdr:col>
      <xdr:colOff>581025</xdr:colOff>
      <xdr:row>11</xdr:row>
      <xdr:rowOff>66676</xdr:rowOff>
    </xdr:to>
    <mc:AlternateContent xmlns:mc="http://schemas.openxmlformats.org/markup-compatibility/2006" xmlns:a14="http://schemas.microsoft.com/office/drawing/2010/main">
      <mc:Choice Requires="a14">
        <xdr:graphicFrame macro="">
          <xdr:nvGraphicFramePr>
            <xdr:cNvPr id="4" name="Months">
              <a:extLst>
                <a:ext uri="{FF2B5EF4-FFF2-40B4-BE49-F238E27FC236}">
                  <a16:creationId xmlns:a16="http://schemas.microsoft.com/office/drawing/2014/main" id="{B8885DF5-68F1-49E1-919B-88E8F7F5F5FB}"/>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8705850" y="714376"/>
              <a:ext cx="18288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333374</xdr:colOff>
      <xdr:row>1</xdr:row>
      <xdr:rowOff>95250</xdr:rowOff>
    </xdr:from>
    <xdr:to>
      <xdr:col>12</xdr:col>
      <xdr:colOff>552449</xdr:colOff>
      <xdr:row>18</xdr:row>
      <xdr:rowOff>4762</xdr:rowOff>
    </xdr:to>
    <xdr:graphicFrame macro="">
      <xdr:nvGraphicFramePr>
        <xdr:cNvPr id="2" name="Chart 1">
          <a:extLst>
            <a:ext uri="{FF2B5EF4-FFF2-40B4-BE49-F238E27FC236}">
              <a16:creationId xmlns:a16="http://schemas.microsoft.com/office/drawing/2014/main" id="{F843D839-9563-4A21-9777-AD39AA9D88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266700</xdr:colOff>
      <xdr:row>2</xdr:row>
      <xdr:rowOff>114300</xdr:rowOff>
    </xdr:from>
    <xdr:to>
      <xdr:col>16</xdr:col>
      <xdr:colOff>266700</xdr:colOff>
      <xdr:row>15</xdr:row>
      <xdr:rowOff>161925</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973E0979-119D-4E61-8BE5-5156C4FEC8D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001125" y="495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476249</xdr:colOff>
      <xdr:row>6</xdr:row>
      <xdr:rowOff>66675</xdr:rowOff>
    </xdr:from>
    <xdr:to>
      <xdr:col>18</xdr:col>
      <xdr:colOff>323169</xdr:colOff>
      <xdr:row>10</xdr:row>
      <xdr:rowOff>57150</xdr:rowOff>
    </xdr:to>
    <xdr:sp macro="" textlink="">
      <xdr:nvSpPr>
        <xdr:cNvPr id="3" name="Rectangle: Rounded Corners 2">
          <a:extLst>
            <a:ext uri="{FF2B5EF4-FFF2-40B4-BE49-F238E27FC236}">
              <a16:creationId xmlns:a16="http://schemas.microsoft.com/office/drawing/2014/main" id="{09EF23F0-9240-4D57-A1DA-9D3677799528}"/>
            </a:ext>
          </a:extLst>
        </xdr:cNvPr>
        <xdr:cNvSpPr/>
      </xdr:nvSpPr>
      <xdr:spPr>
        <a:xfrm>
          <a:off x="3537856" y="1189264"/>
          <a:ext cx="7807099" cy="738868"/>
        </a:xfrm>
        <a:prstGeom prst="roundRect">
          <a:avLst/>
        </a:prstGeom>
        <a:solidFill>
          <a:schemeClr val="accent2">
            <a:lumMod val="40000"/>
            <a:lumOff val="60000"/>
          </a:schemeClr>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246628</xdr:colOff>
      <xdr:row>6</xdr:row>
      <xdr:rowOff>127567</xdr:rowOff>
    </xdr:from>
    <xdr:to>
      <xdr:col>16</xdr:col>
      <xdr:colOff>433727</xdr:colOff>
      <xdr:row>10</xdr:row>
      <xdr:rowOff>17009</xdr:rowOff>
    </xdr:to>
    <xdr:sp macro="" textlink="">
      <xdr:nvSpPr>
        <xdr:cNvPr id="4" name="TextBox 3">
          <a:extLst>
            <a:ext uri="{FF2B5EF4-FFF2-40B4-BE49-F238E27FC236}">
              <a16:creationId xmlns:a16="http://schemas.microsoft.com/office/drawing/2014/main" id="{7862F512-EE81-4406-BBAD-3ACB50791386}"/>
            </a:ext>
          </a:extLst>
        </xdr:cNvPr>
        <xdr:cNvSpPr txBox="1"/>
      </xdr:nvSpPr>
      <xdr:spPr>
        <a:xfrm>
          <a:off x="3920557" y="1250156"/>
          <a:ext cx="6310313" cy="637835"/>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u="sng" cap="none" spc="0">
              <a:ln w="12700" cmpd="sng">
                <a:solidFill>
                  <a:schemeClr val="accent4"/>
                </a:solidFill>
                <a:prstDash val="solid"/>
              </a:ln>
              <a:solidFill>
                <a:srgbClr val="002060"/>
              </a:solidFill>
              <a:effectLst/>
            </a:rPr>
            <a:t>Store Data DashBoard</a:t>
          </a:r>
        </a:p>
      </xdr:txBody>
    </xdr:sp>
    <xdr:clientData/>
  </xdr:twoCellAnchor>
  <xdr:twoCellAnchor>
    <xdr:from>
      <xdr:col>1</xdr:col>
      <xdr:colOff>275204</xdr:colOff>
      <xdr:row>6</xdr:row>
      <xdr:rowOff>37760</xdr:rowOff>
    </xdr:from>
    <xdr:to>
      <xdr:col>4</xdr:col>
      <xdr:colOff>150395</xdr:colOff>
      <xdr:row>10</xdr:row>
      <xdr:rowOff>110558</xdr:rowOff>
    </xdr:to>
    <xdr:sp macro="" textlink="">
      <xdr:nvSpPr>
        <xdr:cNvPr id="5" name="TextBox 4">
          <a:extLst>
            <a:ext uri="{FF2B5EF4-FFF2-40B4-BE49-F238E27FC236}">
              <a16:creationId xmlns:a16="http://schemas.microsoft.com/office/drawing/2014/main" id="{74BF0637-937B-4567-965F-8D73853D71F9}"/>
            </a:ext>
          </a:extLst>
        </xdr:cNvPr>
        <xdr:cNvSpPr txBox="1"/>
      </xdr:nvSpPr>
      <xdr:spPr>
        <a:xfrm>
          <a:off x="886809" y="1180760"/>
          <a:ext cx="1710007" cy="834798"/>
        </a:xfrm>
        <a:prstGeom prst="rect">
          <a:avLst/>
        </a:prstGeom>
        <a:solidFill>
          <a:srgbClr val="66CCFF"/>
        </a:solidFill>
        <a:ln w="9525"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1"/>
              </a:solidFill>
            </a:rPr>
            <a:t>STORE   </a:t>
          </a:r>
        </a:p>
        <a:p>
          <a:r>
            <a:rPr lang="en-IN" sz="1100" b="1">
              <a:solidFill>
                <a:schemeClr val="tx1"/>
              </a:solidFill>
            </a:rPr>
            <a:t>DATA</a:t>
          </a:r>
        </a:p>
        <a:p>
          <a:r>
            <a:rPr lang="en-IN" sz="1100" b="1">
              <a:solidFill>
                <a:schemeClr val="tx1"/>
              </a:solidFill>
            </a:rPr>
            <a:t>DASHBOARD</a:t>
          </a:r>
        </a:p>
      </xdr:txBody>
    </xdr:sp>
    <xdr:clientData/>
  </xdr:twoCellAnchor>
  <xdr:twoCellAnchor>
    <xdr:from>
      <xdr:col>1</xdr:col>
      <xdr:colOff>323850</xdr:colOff>
      <xdr:row>6</xdr:row>
      <xdr:rowOff>93549</xdr:rowOff>
    </xdr:from>
    <xdr:to>
      <xdr:col>1</xdr:col>
      <xdr:colOff>333375</xdr:colOff>
      <xdr:row>9</xdr:row>
      <xdr:rowOff>179274</xdr:rowOff>
    </xdr:to>
    <xdr:cxnSp macro="">
      <xdr:nvCxnSpPr>
        <xdr:cNvPr id="7" name="Straight Connector 6">
          <a:extLst>
            <a:ext uri="{FF2B5EF4-FFF2-40B4-BE49-F238E27FC236}">
              <a16:creationId xmlns:a16="http://schemas.microsoft.com/office/drawing/2014/main" id="{C11AEA1F-59E5-4C79-BD5E-D06EA9EAED33}"/>
            </a:ext>
          </a:extLst>
        </xdr:cNvPr>
        <xdr:cNvCxnSpPr/>
      </xdr:nvCxnSpPr>
      <xdr:spPr>
        <a:xfrm>
          <a:off x="936171" y="1216138"/>
          <a:ext cx="9525" cy="647020"/>
        </a:xfrm>
        <a:prstGeom prst="line">
          <a:avLst/>
        </a:prstGeom>
        <a:ln>
          <a:headEnd type="none" w="med" len="med"/>
          <a:tailEnd type="none" w="med" len="med"/>
        </a:ln>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518771</xdr:colOff>
      <xdr:row>14</xdr:row>
      <xdr:rowOff>1</xdr:rowOff>
    </xdr:from>
    <xdr:to>
      <xdr:col>9</xdr:col>
      <xdr:colOff>542924</xdr:colOff>
      <xdr:row>32</xdr:row>
      <xdr:rowOff>66675</xdr:rowOff>
    </xdr:to>
    <xdr:sp macro="" textlink="">
      <xdr:nvSpPr>
        <xdr:cNvPr id="17" name="Rectangle: Rounded Corners 16">
          <a:extLst>
            <a:ext uri="{FF2B5EF4-FFF2-40B4-BE49-F238E27FC236}">
              <a16:creationId xmlns:a16="http://schemas.microsoft.com/office/drawing/2014/main" id="{8FA42767-D079-4998-B432-11824DFE49F0}"/>
            </a:ext>
          </a:extLst>
        </xdr:cNvPr>
        <xdr:cNvSpPr/>
      </xdr:nvSpPr>
      <xdr:spPr>
        <a:xfrm>
          <a:off x="3580378" y="2619376"/>
          <a:ext cx="2473439" cy="343444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391204</xdr:colOff>
      <xdr:row>15</xdr:row>
      <xdr:rowOff>76200</xdr:rowOff>
    </xdr:from>
    <xdr:to>
      <xdr:col>17</xdr:col>
      <xdr:colOff>533399</xdr:colOff>
      <xdr:row>29</xdr:row>
      <xdr:rowOff>133350</xdr:rowOff>
    </xdr:to>
    <xdr:sp macro="" textlink="">
      <xdr:nvSpPr>
        <xdr:cNvPr id="18" name="Rectangle 17">
          <a:extLst>
            <a:ext uri="{FF2B5EF4-FFF2-40B4-BE49-F238E27FC236}">
              <a16:creationId xmlns:a16="http://schemas.microsoft.com/office/drawing/2014/main" id="{FEA8ACE6-4EB4-4761-80C8-08A3B4217B25}"/>
            </a:ext>
          </a:extLst>
        </xdr:cNvPr>
        <xdr:cNvSpPr/>
      </xdr:nvSpPr>
      <xdr:spPr>
        <a:xfrm>
          <a:off x="7126740" y="2882673"/>
          <a:ext cx="3816123" cy="26765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238125</xdr:colOff>
      <xdr:row>37</xdr:row>
      <xdr:rowOff>34018</xdr:rowOff>
    </xdr:from>
    <xdr:to>
      <xdr:col>6</xdr:col>
      <xdr:colOff>228600</xdr:colOff>
      <xdr:row>51</xdr:row>
      <xdr:rowOff>19050</xdr:rowOff>
    </xdr:to>
    <xdr:sp macro="" textlink="">
      <xdr:nvSpPr>
        <xdr:cNvPr id="20" name="Rectangle: Rounded Corners 19">
          <a:extLst>
            <a:ext uri="{FF2B5EF4-FFF2-40B4-BE49-F238E27FC236}">
              <a16:creationId xmlns:a16="http://schemas.microsoft.com/office/drawing/2014/main" id="{971B4E34-FFAB-40BE-92C7-4DC79496A603}"/>
            </a:ext>
          </a:extLst>
        </xdr:cNvPr>
        <xdr:cNvSpPr/>
      </xdr:nvSpPr>
      <xdr:spPr>
        <a:xfrm>
          <a:off x="850446" y="6956652"/>
          <a:ext cx="3052083" cy="260440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469785</xdr:colOff>
      <xdr:row>37</xdr:row>
      <xdr:rowOff>26534</xdr:rowOff>
    </xdr:from>
    <xdr:to>
      <xdr:col>12</xdr:col>
      <xdr:colOff>384060</xdr:colOff>
      <xdr:row>52</xdr:row>
      <xdr:rowOff>140833</xdr:rowOff>
    </xdr:to>
    <xdr:sp macro="" textlink="">
      <xdr:nvSpPr>
        <xdr:cNvPr id="21" name="Rectangle: Rounded Corners 20">
          <a:extLst>
            <a:ext uri="{FF2B5EF4-FFF2-40B4-BE49-F238E27FC236}">
              <a16:creationId xmlns:a16="http://schemas.microsoft.com/office/drawing/2014/main" id="{1756FE8F-CF4F-44DA-A71B-D11AF1C81791}"/>
            </a:ext>
          </a:extLst>
        </xdr:cNvPr>
        <xdr:cNvSpPr/>
      </xdr:nvSpPr>
      <xdr:spPr>
        <a:xfrm>
          <a:off x="4143714" y="6949168"/>
          <a:ext cx="3588203" cy="292077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423182</xdr:colOff>
      <xdr:row>37</xdr:row>
      <xdr:rowOff>45923</xdr:rowOff>
    </xdr:from>
    <xdr:to>
      <xdr:col>18</xdr:col>
      <xdr:colOff>308882</xdr:colOff>
      <xdr:row>53</xdr:row>
      <xdr:rowOff>17348</xdr:rowOff>
    </xdr:to>
    <xdr:sp macro="" textlink="">
      <xdr:nvSpPr>
        <xdr:cNvPr id="22" name="Rectangle: Rounded Corners 21">
          <a:extLst>
            <a:ext uri="{FF2B5EF4-FFF2-40B4-BE49-F238E27FC236}">
              <a16:creationId xmlns:a16="http://schemas.microsoft.com/office/drawing/2014/main" id="{45FCB519-C9B3-4F94-AC2C-3F9ACE3DB41E}"/>
            </a:ext>
          </a:extLst>
        </xdr:cNvPr>
        <xdr:cNvSpPr/>
      </xdr:nvSpPr>
      <xdr:spPr>
        <a:xfrm>
          <a:off x="8383361" y="6968557"/>
          <a:ext cx="2947307" cy="296499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255134</xdr:colOff>
      <xdr:row>13</xdr:row>
      <xdr:rowOff>114300</xdr:rowOff>
    </xdr:from>
    <xdr:to>
      <xdr:col>18</xdr:col>
      <xdr:colOff>381000</xdr:colOff>
      <xdr:row>35</xdr:row>
      <xdr:rowOff>170089</xdr:rowOff>
    </xdr:to>
    <xdr:graphicFrame macro="">
      <xdr:nvGraphicFramePr>
        <xdr:cNvPr id="23" name="Chart 22">
          <a:extLst>
            <a:ext uri="{FF2B5EF4-FFF2-40B4-BE49-F238E27FC236}">
              <a16:creationId xmlns:a16="http://schemas.microsoft.com/office/drawing/2014/main" id="{7F519AFE-FFB2-44FC-A6E0-F06A2502EF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485777</xdr:colOff>
      <xdr:row>13</xdr:row>
      <xdr:rowOff>133349</xdr:rowOff>
    </xdr:from>
    <xdr:to>
      <xdr:col>10</xdr:col>
      <xdr:colOff>542927</xdr:colOff>
      <xdr:row>36</xdr:row>
      <xdr:rowOff>8503</xdr:rowOff>
    </xdr:to>
    <xdr:graphicFrame macro="">
      <xdr:nvGraphicFramePr>
        <xdr:cNvPr id="24" name="Chart 23">
          <a:extLst>
            <a:ext uri="{FF2B5EF4-FFF2-40B4-BE49-F238E27FC236}">
              <a16:creationId xmlns:a16="http://schemas.microsoft.com/office/drawing/2014/main" id="{85B0CD63-E1C8-426C-A8FB-F8A51559D1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236085</xdr:colOff>
      <xdr:row>37</xdr:row>
      <xdr:rowOff>36058</xdr:rowOff>
    </xdr:from>
    <xdr:to>
      <xdr:col>6</xdr:col>
      <xdr:colOff>293234</xdr:colOff>
      <xdr:row>52</xdr:row>
      <xdr:rowOff>161585</xdr:rowOff>
    </xdr:to>
    <xdr:graphicFrame macro="">
      <xdr:nvGraphicFramePr>
        <xdr:cNvPr id="25" name="Chart 24">
          <a:extLst>
            <a:ext uri="{FF2B5EF4-FFF2-40B4-BE49-F238E27FC236}">
              <a16:creationId xmlns:a16="http://schemas.microsoft.com/office/drawing/2014/main" id="{534B3782-C91D-44FB-B948-076AA7D81C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469786</xdr:colOff>
      <xdr:row>37</xdr:row>
      <xdr:rowOff>35038</xdr:rowOff>
    </xdr:from>
    <xdr:to>
      <xdr:col>12</xdr:col>
      <xdr:colOff>498362</xdr:colOff>
      <xdr:row>52</xdr:row>
      <xdr:rowOff>177914</xdr:rowOff>
    </xdr:to>
    <xdr:graphicFrame macro="">
      <xdr:nvGraphicFramePr>
        <xdr:cNvPr id="26" name="Chart 25">
          <a:extLst>
            <a:ext uri="{FF2B5EF4-FFF2-40B4-BE49-F238E27FC236}">
              <a16:creationId xmlns:a16="http://schemas.microsoft.com/office/drawing/2014/main" id="{24627F5F-3FB5-42AE-960D-10D7353453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115322</xdr:colOff>
      <xdr:row>37</xdr:row>
      <xdr:rowOff>37418</xdr:rowOff>
    </xdr:from>
    <xdr:to>
      <xdr:col>18</xdr:col>
      <xdr:colOff>477271</xdr:colOff>
      <xdr:row>53</xdr:row>
      <xdr:rowOff>17009</xdr:rowOff>
    </xdr:to>
    <xdr:graphicFrame macro="">
      <xdr:nvGraphicFramePr>
        <xdr:cNvPr id="28" name="Chart 27">
          <a:extLst>
            <a:ext uri="{FF2B5EF4-FFF2-40B4-BE49-F238E27FC236}">
              <a16:creationId xmlns:a16="http://schemas.microsoft.com/office/drawing/2014/main" id="{EB264924-8B41-4FA8-A0A6-536E8237A5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535783</xdr:colOff>
      <xdr:row>6</xdr:row>
      <xdr:rowOff>34018</xdr:rowOff>
    </xdr:from>
    <xdr:to>
      <xdr:col>4</xdr:col>
      <xdr:colOff>250659</xdr:colOff>
      <xdr:row>10</xdr:row>
      <xdr:rowOff>136071</xdr:rowOff>
    </xdr:to>
    <xdr:pic>
      <xdr:nvPicPr>
        <xdr:cNvPr id="6" name="Picture 5">
          <a:extLst>
            <a:ext uri="{FF2B5EF4-FFF2-40B4-BE49-F238E27FC236}">
              <a16:creationId xmlns:a16="http://schemas.microsoft.com/office/drawing/2014/main" id="{DE7BAA93-2761-4F26-86EE-58A013FCE5A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758994" y="1177018"/>
          <a:ext cx="938086" cy="864053"/>
        </a:xfrm>
        <a:prstGeom prst="rect">
          <a:avLst/>
        </a:prstGeom>
        <a:ln>
          <a:noFill/>
        </a:ln>
        <a:effectLst>
          <a:softEdge rad="112500"/>
        </a:effectLst>
      </xdr:spPr>
    </xdr:pic>
    <xdr:clientData/>
  </xdr:twoCellAnchor>
  <xdr:twoCellAnchor>
    <xdr:from>
      <xdr:col>1</xdr:col>
      <xdr:colOff>541421</xdr:colOff>
      <xdr:row>12</xdr:row>
      <xdr:rowOff>130341</xdr:rowOff>
    </xdr:from>
    <xdr:to>
      <xdr:col>3</xdr:col>
      <xdr:colOff>571500</xdr:colOff>
      <xdr:row>16</xdr:row>
      <xdr:rowOff>80210</xdr:rowOff>
    </xdr:to>
    <xdr:sp macro="" textlink="">
      <xdr:nvSpPr>
        <xdr:cNvPr id="2" name="Rounded Rectangle 1"/>
        <xdr:cNvSpPr/>
      </xdr:nvSpPr>
      <xdr:spPr>
        <a:xfrm>
          <a:off x="1153026" y="2416341"/>
          <a:ext cx="1253290" cy="711869"/>
        </a:xfrm>
        <a:prstGeom prst="roundRect">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310817</xdr:colOff>
      <xdr:row>12</xdr:row>
      <xdr:rowOff>80211</xdr:rowOff>
    </xdr:from>
    <xdr:to>
      <xdr:col>4</xdr:col>
      <xdr:colOff>220579</xdr:colOff>
      <xdr:row>16</xdr:row>
      <xdr:rowOff>180474</xdr:rowOff>
    </xdr:to>
    <xdr:sp macro="" textlink="">
      <xdr:nvSpPr>
        <xdr:cNvPr id="8" name="TextBox 7"/>
        <xdr:cNvSpPr txBox="1"/>
      </xdr:nvSpPr>
      <xdr:spPr>
        <a:xfrm>
          <a:off x="922422" y="2366211"/>
          <a:ext cx="1744578" cy="862263"/>
        </a:xfrm>
        <a:prstGeom prst="roundRect">
          <a:avLst/>
        </a:prstGeom>
        <a:gradFill>
          <a:gsLst>
            <a:gs pos="1000">
              <a:srgbClr val="6AAD3E"/>
            </a:gs>
            <a:gs pos="34500">
              <a:srgbClr val="72B347"/>
            </a:gs>
            <a:gs pos="0">
              <a:srgbClr val="78B552"/>
            </a:gs>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190500" dist="228600" dir="2700000" algn="ctr">
            <a:srgbClr val="000000">
              <a:alpha val="30000"/>
            </a:srgbClr>
          </a:outerShdw>
          <a:reflection blurRad="6350" stA="52000" endA="300" endPos="35000" dir="5400000" sy="-100000" algn="bl" rotWithShape="0"/>
        </a:effectLst>
        <a:scene3d>
          <a:camera prst="orthographicFront">
            <a:rot lat="0" lon="0" rev="0"/>
          </a:camera>
          <a:lightRig rig="glow" dir="t">
            <a:rot lat="0" lon="0" rev="4800000"/>
          </a:lightRig>
        </a:scene3d>
        <a:sp3d prstMaterial="matte">
          <a:bevelT w="127000" h="63500" prst="softRound"/>
        </a:sp3d>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ctr"/>
        <a:lstStyle/>
        <a:p>
          <a:pPr algn="ctr"/>
          <a:r>
            <a:rPr lang="en-IN" sz="1400" b="1" i="0" u="none" strike="noStrike">
              <a:solidFill>
                <a:schemeClr val="tx1"/>
              </a:solidFill>
              <a:latin typeface="Arial" panose="020B0604020202020204" pitchFamily="34" charset="0"/>
              <a:ea typeface="Calibri"/>
              <a:cs typeface="Arial" panose="020B0604020202020204" pitchFamily="34" charset="0"/>
            </a:rPr>
            <a:t>Total</a:t>
          </a:r>
          <a:r>
            <a:rPr lang="en-IN" sz="1400" b="1" i="0" u="none" strike="noStrike" baseline="0">
              <a:solidFill>
                <a:schemeClr val="tx1"/>
              </a:solidFill>
              <a:latin typeface="Arial" panose="020B0604020202020204" pitchFamily="34" charset="0"/>
              <a:ea typeface="Calibri"/>
              <a:cs typeface="Arial" panose="020B0604020202020204" pitchFamily="34" charset="0"/>
            </a:rPr>
            <a:t> Sales</a:t>
          </a:r>
        </a:p>
        <a:p>
          <a:pPr algn="ctr"/>
          <a:r>
            <a:rPr lang="en-IN" sz="1400" b="1" i="0" u="none" strike="noStrike">
              <a:solidFill>
                <a:schemeClr val="tx1"/>
              </a:solidFill>
              <a:effectLst/>
              <a:latin typeface="Arial" panose="020B0604020202020204" pitchFamily="34" charset="0"/>
              <a:ea typeface="+mn-ea"/>
              <a:cs typeface="Arial" panose="020B0604020202020204" pitchFamily="34" charset="0"/>
            </a:rPr>
            <a:t>₹ 11,49,700.00</a:t>
          </a:r>
          <a:r>
            <a:rPr lang="en-IN" sz="1400" b="1">
              <a:solidFill>
                <a:schemeClr val="tx1"/>
              </a:solidFill>
              <a:latin typeface="Arial" panose="020B0604020202020204" pitchFamily="34" charset="0"/>
              <a:cs typeface="Arial" panose="020B0604020202020204" pitchFamily="34" charset="0"/>
            </a:rPr>
            <a:t> </a:t>
          </a:r>
          <a:endParaRPr lang="en-IN" sz="1400" b="1" i="0" u="none" strike="noStrike">
            <a:solidFill>
              <a:schemeClr val="tx1"/>
            </a:solidFill>
            <a:latin typeface="Arial" panose="020B0604020202020204" pitchFamily="34" charset="0"/>
            <a:ea typeface="Calibri"/>
            <a:cs typeface="Arial" panose="020B0604020202020204" pitchFamily="34" charset="0"/>
          </a:endParaRPr>
        </a:p>
      </xdr:txBody>
    </xdr:sp>
    <xdr:clientData/>
  </xdr:twoCellAnchor>
  <xdr:twoCellAnchor>
    <xdr:from>
      <xdr:col>1</xdr:col>
      <xdr:colOff>320842</xdr:colOff>
      <xdr:row>20</xdr:row>
      <xdr:rowOff>70183</xdr:rowOff>
    </xdr:from>
    <xdr:to>
      <xdr:col>4</xdr:col>
      <xdr:colOff>190500</xdr:colOff>
      <xdr:row>24</xdr:row>
      <xdr:rowOff>130341</xdr:rowOff>
    </xdr:to>
    <xdr:sp macro="" textlink="">
      <xdr:nvSpPr>
        <xdr:cNvPr id="36" name="TextBox 35"/>
        <xdr:cNvSpPr txBox="1"/>
      </xdr:nvSpPr>
      <xdr:spPr>
        <a:xfrm>
          <a:off x="932447" y="3880183"/>
          <a:ext cx="1704474" cy="822158"/>
        </a:xfrm>
        <a:prstGeom prst="roundRect">
          <a:avLst/>
        </a:prstGeom>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190500" dist="228600" dir="2700000" algn="ctr">
            <a:srgbClr val="000000">
              <a:alpha val="30000"/>
            </a:srgbClr>
          </a:outerShdw>
          <a:reflection blurRad="6350" stA="52000" endA="300" endPos="35000" dir="5400000" sy="-100000" algn="bl" rotWithShape="0"/>
        </a:effectLst>
        <a:scene3d>
          <a:camera prst="orthographicFront">
            <a:rot lat="0" lon="0" rev="0"/>
          </a:camera>
          <a:lightRig rig="glow" dir="t">
            <a:rot lat="0" lon="0" rev="4800000"/>
          </a:lightRig>
        </a:scene3d>
        <a:sp3d prstMaterial="matte">
          <a:bevelT w="127000" h="63500" prst="softRound"/>
        </a:sp3d>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ctr"/>
        <a:lstStyle/>
        <a:p>
          <a:pPr algn="ctr"/>
          <a:r>
            <a:rPr lang="en-IN" sz="1400" b="1" i="0" u="none" strike="noStrike" baseline="0">
              <a:solidFill>
                <a:schemeClr val="tx1"/>
              </a:solidFill>
              <a:latin typeface="Arial" panose="020B0604020202020204" pitchFamily="34" charset="0"/>
              <a:ea typeface="Calibri"/>
              <a:cs typeface="Arial" panose="020B0604020202020204" pitchFamily="34" charset="0"/>
            </a:rPr>
            <a:t>Total Orders</a:t>
          </a:r>
        </a:p>
        <a:p>
          <a:pPr algn="ctr"/>
          <a:r>
            <a:rPr lang="en-IN" sz="1400" b="1" i="0" u="none" strike="noStrike" baseline="0">
              <a:solidFill>
                <a:schemeClr val="tx1"/>
              </a:solidFill>
              <a:latin typeface="Arial" panose="020B0604020202020204" pitchFamily="34" charset="0"/>
              <a:ea typeface="Calibri"/>
              <a:cs typeface="Arial" panose="020B0604020202020204" pitchFamily="34" charset="0"/>
            </a:rPr>
            <a:t>300</a:t>
          </a:r>
        </a:p>
      </xdr:txBody>
    </xdr:sp>
    <xdr:clientData/>
  </xdr:twoCellAnchor>
  <xdr:twoCellAnchor>
    <xdr:from>
      <xdr:col>1</xdr:col>
      <xdr:colOff>370974</xdr:colOff>
      <xdr:row>28</xdr:row>
      <xdr:rowOff>0</xdr:rowOff>
    </xdr:from>
    <xdr:to>
      <xdr:col>4</xdr:col>
      <xdr:colOff>250658</xdr:colOff>
      <xdr:row>32</xdr:row>
      <xdr:rowOff>100263</xdr:rowOff>
    </xdr:to>
    <xdr:sp macro="" textlink="">
      <xdr:nvSpPr>
        <xdr:cNvPr id="37" name="TextBox 36"/>
        <xdr:cNvSpPr txBox="1"/>
      </xdr:nvSpPr>
      <xdr:spPr>
        <a:xfrm>
          <a:off x="982579" y="5334000"/>
          <a:ext cx="1714500" cy="862263"/>
        </a:xfrm>
        <a:prstGeom prst="roundRect">
          <a:avLst/>
        </a:prstGeom>
        <a:gradFill flip="none" rotWithShape="1">
          <a:lin ang="27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190500" dist="228600" dir="2700000" algn="ctr">
            <a:srgbClr val="000000">
              <a:alpha val="30000"/>
            </a:srgbClr>
          </a:outerShdw>
          <a:reflection blurRad="6350" stA="52000" endA="300" endPos="35000" dir="5400000" sy="-100000" algn="bl" rotWithShape="0"/>
        </a:effectLst>
        <a:scene3d>
          <a:camera prst="orthographicFront">
            <a:rot lat="0" lon="0" rev="0"/>
          </a:camera>
          <a:lightRig rig="glow" dir="t">
            <a:rot lat="0" lon="0" rev="4800000"/>
          </a:lightRig>
        </a:scene3d>
        <a:sp3d prstMaterial="matte">
          <a:bevelT w="127000" h="63500" prst="softRound"/>
        </a:sp3d>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ctr"/>
        <a:lstStyle/>
        <a:p>
          <a:pPr algn="ctr"/>
          <a:r>
            <a:rPr lang="en-IN" sz="1400" b="1" i="0" u="none" strike="noStrike">
              <a:solidFill>
                <a:schemeClr val="tx1"/>
              </a:solidFill>
              <a:latin typeface="Arial" panose="020B0604020202020204" pitchFamily="34" charset="0"/>
              <a:ea typeface="Calibri"/>
              <a:cs typeface="Arial" panose="020B0604020202020204" pitchFamily="34" charset="0"/>
            </a:rPr>
            <a:t>Total</a:t>
          </a:r>
          <a:r>
            <a:rPr lang="en-IN" sz="1400" b="1" i="0" u="none" strike="noStrike" baseline="0">
              <a:solidFill>
                <a:schemeClr val="tx1"/>
              </a:solidFill>
              <a:latin typeface="Arial" panose="020B0604020202020204" pitchFamily="34" charset="0"/>
              <a:ea typeface="Calibri"/>
              <a:cs typeface="Arial" panose="020B0604020202020204" pitchFamily="34" charset="0"/>
            </a:rPr>
            <a:t> Quantity Sold</a:t>
          </a:r>
        </a:p>
        <a:p>
          <a:pPr algn="ctr"/>
          <a:r>
            <a:rPr lang="en-IN" sz="1400" b="1" i="0" u="none" strike="noStrike" baseline="0">
              <a:solidFill>
                <a:schemeClr val="tx1"/>
              </a:solidFill>
              <a:latin typeface="Arial" panose="020B0604020202020204" pitchFamily="34" charset="0"/>
              <a:ea typeface="Calibri"/>
              <a:cs typeface="Arial" panose="020B0604020202020204" pitchFamily="34" charset="0"/>
            </a:rPr>
            <a:t>905</a:t>
          </a:r>
        </a:p>
      </xdr:txBody>
    </xdr:sp>
    <xdr:clientData/>
  </xdr:twoCellAnchor>
  <xdr:twoCellAnchor>
    <xdr:from>
      <xdr:col>5</xdr:col>
      <xdr:colOff>0</xdr:colOff>
      <xdr:row>2</xdr:row>
      <xdr:rowOff>140368</xdr:rowOff>
    </xdr:from>
    <xdr:to>
      <xdr:col>5</xdr:col>
      <xdr:colOff>20053</xdr:colOff>
      <xdr:row>35</xdr:row>
      <xdr:rowOff>60158</xdr:rowOff>
    </xdr:to>
    <xdr:cxnSp macro="">
      <xdr:nvCxnSpPr>
        <xdr:cNvPr id="10" name="Straight Connector 9"/>
        <xdr:cNvCxnSpPr/>
      </xdr:nvCxnSpPr>
      <xdr:spPr>
        <a:xfrm>
          <a:off x="3058026" y="521368"/>
          <a:ext cx="20053" cy="620629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6</xdr:col>
      <xdr:colOff>256442</xdr:colOff>
      <xdr:row>3</xdr:row>
      <xdr:rowOff>31401</xdr:rowOff>
    </xdr:from>
    <xdr:to>
      <xdr:col>20</xdr:col>
      <xdr:colOff>282610</xdr:colOff>
      <xdr:row>7</xdr:row>
      <xdr:rowOff>52334</xdr:rowOff>
    </xdr:to>
    <xdr:sp macro="" textlink="">
      <xdr:nvSpPr>
        <xdr:cNvPr id="5" name="Rounded Rectangle 4"/>
        <xdr:cNvSpPr/>
      </xdr:nvSpPr>
      <xdr:spPr>
        <a:xfrm>
          <a:off x="3919904" y="617555"/>
          <a:ext cx="8574244" cy="802471"/>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293077</xdr:colOff>
      <xdr:row>2</xdr:row>
      <xdr:rowOff>125605</xdr:rowOff>
    </xdr:from>
    <xdr:to>
      <xdr:col>22</xdr:col>
      <xdr:colOff>256737</xdr:colOff>
      <xdr:row>7</xdr:row>
      <xdr:rowOff>46089</xdr:rowOff>
    </xdr:to>
    <xdr:sp macro="" textlink="">
      <xdr:nvSpPr>
        <xdr:cNvPr id="6" name="TextBox 5"/>
        <xdr:cNvSpPr txBox="1"/>
      </xdr:nvSpPr>
      <xdr:spPr>
        <a:xfrm>
          <a:off x="3365658" y="494315"/>
          <a:ext cx="10410434" cy="842258"/>
        </a:xfrm>
        <a:prstGeom prst="rect">
          <a:avLst/>
        </a:prstGeom>
        <a:solidFill>
          <a:schemeClr val="bg1">
            <a:lumMod val="75000"/>
          </a:schemeClr>
        </a:solidFill>
        <a:ln>
          <a:noFill/>
        </a:ln>
        <a:effectLst>
          <a:outerShdw blurRad="190500" dist="228600" dir="2700000" algn="ctr">
            <a:srgbClr val="000000">
              <a:alpha val="30000"/>
            </a:srgbClr>
          </a:outerShdw>
          <a:reflection blurRad="6350" stA="52000" endA="300" endPos="35000" dir="5400000" sy="-100000" algn="bl" rotWithShape="0"/>
        </a:effectLst>
        <a:scene3d>
          <a:camera prst="orthographicFront">
            <a:rot lat="0" lon="0" rev="0"/>
          </a:camera>
          <a:lightRig rig="glow" dir="t">
            <a:rot lat="0" lon="0" rev="4800000"/>
          </a:lightRig>
        </a:scene3d>
        <a:sp3d prstMaterial="matte">
          <a:bevelT w="127000" h="63500" prst="softRound"/>
        </a:sp3d>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IN" sz="3600" b="1" u="sng">
              <a:solidFill>
                <a:srgbClr val="002060"/>
              </a:solidFill>
              <a:effectLst/>
              <a:latin typeface="Arial" panose="020B0604020202020204" pitchFamily="34" charset="0"/>
              <a:ea typeface="+mn-ea"/>
              <a:cs typeface="Arial" panose="020B0604020202020204" pitchFamily="34" charset="0"/>
            </a:rPr>
            <a:t>STORE</a:t>
          </a:r>
          <a:r>
            <a:rPr lang="en-IN" sz="3600" b="1" u="sng" baseline="0">
              <a:solidFill>
                <a:srgbClr val="002060"/>
              </a:solidFill>
              <a:effectLst/>
              <a:latin typeface="Arial" panose="020B0604020202020204" pitchFamily="34" charset="0"/>
              <a:ea typeface="+mn-ea"/>
              <a:cs typeface="Arial" panose="020B0604020202020204" pitchFamily="34" charset="0"/>
            </a:rPr>
            <a:t> DATA DASHBOARD</a:t>
          </a:r>
          <a:endParaRPr lang="en-IN" sz="3600">
            <a:solidFill>
              <a:srgbClr val="002060"/>
            </a:solidFill>
            <a:effectLst/>
            <a:latin typeface="Arial" panose="020B0604020202020204" pitchFamily="34" charset="0"/>
            <a:cs typeface="Arial" panose="020B0604020202020204" pitchFamily="34" charset="0"/>
          </a:endParaRPr>
        </a:p>
        <a:p>
          <a:pPr algn="r"/>
          <a:endParaRPr lang="en-IN" sz="2000" b="1" i="0" u="none" strike="noStrike">
            <a:solidFill>
              <a:schemeClr val="tx1"/>
            </a:solidFill>
            <a:latin typeface="Arial" panose="020B0604020202020204" pitchFamily="34" charset="0"/>
            <a:ea typeface="Calibri"/>
            <a:cs typeface="Arial" panose="020B0604020202020204" pitchFamily="34" charset="0"/>
          </a:endParaRPr>
        </a:p>
      </xdr:txBody>
    </xdr:sp>
    <xdr:clientData/>
  </xdr:twoCellAnchor>
  <xdr:twoCellAnchor>
    <xdr:from>
      <xdr:col>0</xdr:col>
      <xdr:colOff>551264</xdr:colOff>
      <xdr:row>2</xdr:row>
      <xdr:rowOff>155261</xdr:rowOff>
    </xdr:from>
    <xdr:to>
      <xdr:col>4</xdr:col>
      <xdr:colOff>160494</xdr:colOff>
      <xdr:row>7</xdr:row>
      <xdr:rowOff>186663</xdr:rowOff>
    </xdr:to>
    <xdr:sp macro="" textlink="">
      <xdr:nvSpPr>
        <xdr:cNvPr id="7" name="TextBox 6">
          <a:extLst>
            <a:ext uri="{FF2B5EF4-FFF2-40B4-BE49-F238E27FC236}">
              <a16:creationId xmlns:a16="http://schemas.microsoft.com/office/drawing/2014/main" id="{74BF0637-937B-4567-965F-8D73853D71F9}"/>
            </a:ext>
          </a:extLst>
        </xdr:cNvPr>
        <xdr:cNvSpPr txBox="1"/>
      </xdr:nvSpPr>
      <xdr:spPr>
        <a:xfrm>
          <a:off x="551264" y="546030"/>
          <a:ext cx="2051538" cy="1008325"/>
        </a:xfrm>
        <a:prstGeom prst="rect">
          <a:avLst/>
        </a:prstGeom>
        <a:solidFill>
          <a:schemeClr val="bg2">
            <a:lumMod val="90000"/>
          </a:schemeClr>
        </a:solidFill>
        <a:ln w="9525"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1"/>
              </a:solidFill>
            </a:rPr>
            <a:t> </a:t>
          </a:r>
        </a:p>
        <a:p>
          <a:r>
            <a:rPr lang="en-IN" sz="1400" b="1">
              <a:solidFill>
                <a:srgbClr val="002060"/>
              </a:solidFill>
              <a:effectLst/>
              <a:latin typeface="+mn-lt"/>
              <a:ea typeface="+mn-ea"/>
              <a:cs typeface="+mn-cs"/>
            </a:rPr>
            <a:t>  STORE   </a:t>
          </a:r>
          <a:endParaRPr lang="en-IN" sz="1400" b="1">
            <a:solidFill>
              <a:srgbClr val="002060"/>
            </a:solidFill>
            <a:effectLst/>
            <a:latin typeface="+mn-lt"/>
          </a:endParaRPr>
        </a:p>
        <a:p>
          <a:r>
            <a:rPr lang="en-IN" sz="1400" b="1">
              <a:solidFill>
                <a:srgbClr val="002060"/>
              </a:solidFill>
              <a:effectLst/>
              <a:latin typeface="+mn-lt"/>
              <a:ea typeface="+mn-ea"/>
              <a:cs typeface="+mn-cs"/>
            </a:rPr>
            <a:t>  DATA</a:t>
          </a:r>
          <a:endParaRPr lang="en-IN" sz="1400" b="1">
            <a:solidFill>
              <a:srgbClr val="002060"/>
            </a:solidFill>
            <a:effectLst/>
            <a:latin typeface="+mn-lt"/>
          </a:endParaRPr>
        </a:p>
        <a:p>
          <a:r>
            <a:rPr lang="en-IN" sz="1400" b="1">
              <a:solidFill>
                <a:srgbClr val="002060"/>
              </a:solidFill>
              <a:effectLst/>
              <a:latin typeface="+mn-lt"/>
              <a:ea typeface="+mn-ea"/>
              <a:cs typeface="+mn-cs"/>
            </a:rPr>
            <a:t>  DASHBOARD</a:t>
          </a:r>
          <a:endParaRPr lang="en-IN" sz="1400" b="1">
            <a:solidFill>
              <a:srgbClr val="002060"/>
            </a:solidFill>
            <a:effectLst/>
            <a:latin typeface="+mn-lt"/>
          </a:endParaRPr>
        </a:p>
        <a:p>
          <a:r>
            <a:rPr lang="en-IN" sz="1100" b="0">
              <a:solidFill>
                <a:schemeClr val="tx1"/>
              </a:solidFill>
            </a:rPr>
            <a:t>                            </a:t>
          </a:r>
          <a:r>
            <a:rPr lang="en-IN" sz="1100" b="1">
              <a:solidFill>
                <a:schemeClr val="tx1"/>
              </a:solidFill>
            </a:rPr>
            <a:t>                                  </a:t>
          </a:r>
        </a:p>
      </xdr:txBody>
    </xdr:sp>
    <xdr:clientData/>
  </xdr:twoCellAnchor>
  <xdr:twoCellAnchor>
    <xdr:from>
      <xdr:col>5</xdr:col>
      <xdr:colOff>233803</xdr:colOff>
      <xdr:row>16</xdr:row>
      <xdr:rowOff>134327</xdr:rowOff>
    </xdr:from>
    <xdr:to>
      <xdr:col>13</xdr:col>
      <xdr:colOff>261676</xdr:colOff>
      <xdr:row>35</xdr:row>
      <xdr:rowOff>113392</xdr:rowOff>
    </xdr:to>
    <xdr:graphicFrame macro="">
      <xdr:nvGraphicFramePr>
        <xdr:cNvPr id="10" name="Chart 9">
          <a:extLst>
            <a:ext uri="{FF2B5EF4-FFF2-40B4-BE49-F238E27FC236}">
              <a16:creationId xmlns:a16="http://schemas.microsoft.com/office/drawing/2014/main" id="{E9D70CC7-BE4E-4191-9CE9-9A896016FB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73268</xdr:colOff>
      <xdr:row>9</xdr:row>
      <xdr:rowOff>125605</xdr:rowOff>
    </xdr:from>
    <xdr:to>
      <xdr:col>8</xdr:col>
      <xdr:colOff>471016</xdr:colOff>
      <xdr:row>14</xdr:row>
      <xdr:rowOff>10467</xdr:rowOff>
    </xdr:to>
    <xdr:sp macro="" textlink="">
      <xdr:nvSpPr>
        <xdr:cNvPr id="12" name="Rounded Rectangle 11"/>
        <xdr:cNvSpPr/>
      </xdr:nvSpPr>
      <xdr:spPr>
        <a:xfrm>
          <a:off x="3736730" y="1884067"/>
          <a:ext cx="1618901" cy="861785"/>
        </a:xfrm>
        <a:prstGeom prst="round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280866</xdr:colOff>
      <xdr:row>9</xdr:row>
      <xdr:rowOff>136072</xdr:rowOff>
    </xdr:from>
    <xdr:to>
      <xdr:col>14</xdr:col>
      <xdr:colOff>376813</xdr:colOff>
      <xdr:row>14</xdr:row>
      <xdr:rowOff>62803</xdr:rowOff>
    </xdr:to>
    <xdr:sp macro="" textlink="">
      <xdr:nvSpPr>
        <xdr:cNvPr id="13" name="Rounded Rectangle 12"/>
        <xdr:cNvSpPr/>
      </xdr:nvSpPr>
      <xdr:spPr>
        <a:xfrm>
          <a:off x="6997212" y="1894534"/>
          <a:ext cx="1927678" cy="903654"/>
        </a:xfrm>
        <a:prstGeom prst="round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97692</xdr:colOff>
      <xdr:row>9</xdr:row>
      <xdr:rowOff>125605</xdr:rowOff>
    </xdr:from>
    <xdr:to>
      <xdr:col>20</xdr:col>
      <xdr:colOff>460550</xdr:colOff>
      <xdr:row>14</xdr:row>
      <xdr:rowOff>83737</xdr:rowOff>
    </xdr:to>
    <xdr:sp macro="" textlink="">
      <xdr:nvSpPr>
        <xdr:cNvPr id="14" name="Rounded Rectangle 13"/>
        <xdr:cNvSpPr/>
      </xdr:nvSpPr>
      <xdr:spPr>
        <a:xfrm>
          <a:off x="10477500" y="1884067"/>
          <a:ext cx="2194588" cy="935055"/>
        </a:xfrm>
        <a:prstGeom prst="round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273887</xdr:colOff>
      <xdr:row>9</xdr:row>
      <xdr:rowOff>102925</xdr:rowOff>
    </xdr:from>
    <xdr:to>
      <xdr:col>10</xdr:col>
      <xdr:colOff>71524</xdr:colOff>
      <xdr:row>14</xdr:row>
      <xdr:rowOff>92457</xdr:rowOff>
    </xdr:to>
    <xdr:sp macro="" textlink="">
      <xdr:nvSpPr>
        <xdr:cNvPr id="16" name="TextBox 15"/>
        <xdr:cNvSpPr txBox="1"/>
      </xdr:nvSpPr>
      <xdr:spPr>
        <a:xfrm>
          <a:off x="3326772" y="1861387"/>
          <a:ext cx="2850521" cy="966455"/>
        </a:xfrm>
        <a:prstGeom prst="rect">
          <a:avLst/>
        </a:prstGeom>
        <a:solidFill>
          <a:schemeClr val="bg2">
            <a:lumMod val="90000"/>
          </a:schemeClr>
        </a:solidFill>
        <a:ln>
          <a:noFill/>
        </a:ln>
        <a:effectLst>
          <a:outerShdw blurRad="190500" dist="228600" dir="2700000" algn="ctr">
            <a:srgbClr val="000000">
              <a:alpha val="30000"/>
            </a:srgbClr>
          </a:outerShdw>
          <a:reflection blurRad="6350" stA="52000" endA="300" endPos="35000" dir="5400000" sy="-100000" algn="bl" rotWithShape="0"/>
        </a:effectLst>
        <a:scene3d>
          <a:camera prst="orthographicFront">
            <a:rot lat="0" lon="0" rev="0"/>
          </a:camera>
          <a:lightRig rig="glow" dir="t">
            <a:rot lat="0" lon="0" rev="4800000"/>
          </a:lightRig>
        </a:scene3d>
        <a:sp3d prstMaterial="matte">
          <a:bevelT w="127000" h="63500" prst="softRound"/>
        </a:sp3d>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ctr"/>
        <a:lstStyle/>
        <a:p>
          <a:pPr algn="ctr"/>
          <a:r>
            <a:rPr lang="en-IN" sz="1800" b="1" i="0">
              <a:solidFill>
                <a:srgbClr val="002060"/>
              </a:solidFill>
              <a:effectLst/>
              <a:latin typeface="+mn-lt"/>
              <a:ea typeface="+mn-ea"/>
              <a:cs typeface="+mn-cs"/>
            </a:rPr>
            <a:t>TOTAL</a:t>
          </a:r>
          <a:r>
            <a:rPr lang="en-IN" sz="1800" b="1" i="0" baseline="0">
              <a:solidFill>
                <a:srgbClr val="002060"/>
              </a:solidFill>
              <a:effectLst/>
              <a:latin typeface="+mn-lt"/>
              <a:ea typeface="+mn-ea"/>
              <a:cs typeface="+mn-cs"/>
            </a:rPr>
            <a:t> SALES</a:t>
          </a:r>
        </a:p>
        <a:p>
          <a:pPr algn="ctr"/>
          <a:r>
            <a:rPr lang="en-IN" sz="1800" b="1" i="0" u="none" strike="noStrike">
              <a:solidFill>
                <a:srgbClr val="002060"/>
              </a:solidFill>
              <a:effectLst/>
              <a:latin typeface="+mn-lt"/>
              <a:ea typeface="+mn-ea"/>
              <a:cs typeface="+mn-cs"/>
            </a:rPr>
            <a:t>₹ 11,49,700.00</a:t>
          </a:r>
          <a:r>
            <a:rPr lang="en-IN" sz="1800" b="1">
              <a:solidFill>
                <a:srgbClr val="002060"/>
              </a:solidFill>
              <a:latin typeface="+mn-lt"/>
            </a:rPr>
            <a:t> </a:t>
          </a:r>
          <a:endParaRPr lang="en-IN" sz="1800" b="1" i="0">
            <a:solidFill>
              <a:srgbClr val="002060"/>
            </a:solidFill>
            <a:effectLst/>
            <a:latin typeface="+mn-lt"/>
            <a:ea typeface="+mn-ea"/>
            <a:cs typeface="+mn-cs"/>
          </a:endParaRPr>
        </a:p>
      </xdr:txBody>
    </xdr:sp>
    <xdr:clientData/>
  </xdr:twoCellAnchor>
  <xdr:twoCellAnchor>
    <xdr:from>
      <xdr:col>11</xdr:col>
      <xdr:colOff>120372</xdr:colOff>
      <xdr:row>9</xdr:row>
      <xdr:rowOff>122117</xdr:rowOff>
    </xdr:from>
    <xdr:to>
      <xdr:col>16</xdr:col>
      <xdr:colOff>151773</xdr:colOff>
      <xdr:row>14</xdr:row>
      <xdr:rowOff>122117</xdr:rowOff>
    </xdr:to>
    <xdr:sp macro="" textlink="">
      <xdr:nvSpPr>
        <xdr:cNvPr id="17" name="TextBox 16"/>
        <xdr:cNvSpPr txBox="1"/>
      </xdr:nvSpPr>
      <xdr:spPr>
        <a:xfrm>
          <a:off x="6836718" y="1880579"/>
          <a:ext cx="3084286" cy="976923"/>
        </a:xfrm>
        <a:prstGeom prst="rect">
          <a:avLst/>
        </a:prstGeom>
        <a:solidFill>
          <a:schemeClr val="bg2">
            <a:lumMod val="90000"/>
          </a:schemeClr>
        </a:solidFill>
        <a:ln>
          <a:noFill/>
        </a:ln>
        <a:effectLst>
          <a:outerShdw blurRad="190500" dist="228600" dir="2700000" algn="ctr">
            <a:srgbClr val="000000">
              <a:alpha val="30000"/>
            </a:srgbClr>
          </a:outerShdw>
          <a:reflection blurRad="6350" stA="52000" endA="300" endPos="35000" dir="5400000" sy="-100000" algn="bl" rotWithShape="0"/>
        </a:effectLst>
        <a:scene3d>
          <a:camera prst="orthographicFront">
            <a:rot lat="0" lon="0" rev="0"/>
          </a:camera>
          <a:lightRig rig="glow" dir="t">
            <a:rot lat="0" lon="0" rev="4800000"/>
          </a:lightRig>
        </a:scene3d>
        <a:sp3d prstMaterial="matte">
          <a:bevelT w="127000" h="63500" prst="softRound"/>
        </a:sp3d>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ctr"/>
        <a:lstStyle/>
        <a:p>
          <a:pPr algn="ctr"/>
          <a:r>
            <a:rPr lang="en-IN" sz="1800" b="1" i="0" u="none" strike="noStrike">
              <a:solidFill>
                <a:srgbClr val="002060"/>
              </a:solidFill>
              <a:latin typeface="+mn-lt"/>
              <a:ea typeface="Calibri"/>
              <a:cs typeface="Arial" panose="020B0604020202020204" pitchFamily="34" charset="0"/>
            </a:rPr>
            <a:t>TOTAL ORDERS</a:t>
          </a:r>
          <a:endParaRPr lang="en-IN" sz="1800" b="1" i="0" u="none" strike="noStrike">
            <a:solidFill>
              <a:srgbClr val="002060"/>
            </a:solidFill>
            <a:effectLst/>
            <a:latin typeface="+mn-lt"/>
            <a:ea typeface="+mn-ea"/>
            <a:cs typeface="+mn-cs"/>
          </a:endParaRPr>
        </a:p>
        <a:p>
          <a:pPr algn="ctr"/>
          <a:r>
            <a:rPr lang="en-IN" sz="1800" b="1" i="0" u="none" strike="noStrike">
              <a:solidFill>
                <a:srgbClr val="002060"/>
              </a:solidFill>
              <a:effectLst/>
              <a:latin typeface="+mn-lt"/>
              <a:ea typeface="+mn-ea"/>
              <a:cs typeface="+mn-cs"/>
            </a:rPr>
            <a:t>300</a:t>
          </a:r>
          <a:endParaRPr lang="en-IN" sz="1800" b="1" i="0" u="none" strike="noStrike">
            <a:solidFill>
              <a:srgbClr val="002060"/>
            </a:solidFill>
            <a:latin typeface="+mn-lt"/>
            <a:ea typeface="Calibri"/>
            <a:cs typeface="Arial" panose="020B0604020202020204" pitchFamily="34" charset="0"/>
          </a:endParaRPr>
        </a:p>
      </xdr:txBody>
    </xdr:sp>
    <xdr:clientData/>
  </xdr:twoCellAnchor>
  <xdr:twoCellAnchor>
    <xdr:from>
      <xdr:col>17</xdr:col>
      <xdr:colOff>92459</xdr:colOff>
      <xdr:row>9</xdr:row>
      <xdr:rowOff>116882</xdr:rowOff>
    </xdr:from>
    <xdr:to>
      <xdr:col>22</xdr:col>
      <xdr:colOff>238998</xdr:colOff>
      <xdr:row>14</xdr:row>
      <xdr:rowOff>127349</xdr:rowOff>
    </xdr:to>
    <xdr:sp macro="" textlink="">
      <xdr:nvSpPr>
        <xdr:cNvPr id="18" name="TextBox 17"/>
        <xdr:cNvSpPr txBox="1"/>
      </xdr:nvSpPr>
      <xdr:spPr>
        <a:xfrm>
          <a:off x="10472267" y="1875344"/>
          <a:ext cx="3199423" cy="987390"/>
        </a:xfrm>
        <a:prstGeom prst="rect">
          <a:avLst/>
        </a:prstGeom>
        <a:solidFill>
          <a:schemeClr val="bg2">
            <a:lumMod val="90000"/>
          </a:schemeClr>
        </a:solidFill>
        <a:ln>
          <a:noFill/>
        </a:ln>
        <a:effectLst>
          <a:outerShdw blurRad="190500" dist="228600" dir="2700000" algn="ctr">
            <a:srgbClr val="000000">
              <a:alpha val="30000"/>
            </a:srgbClr>
          </a:outerShdw>
          <a:reflection blurRad="6350" stA="52000" endA="300" endPos="35000" dir="5400000" sy="-100000" algn="bl" rotWithShape="0"/>
        </a:effectLst>
        <a:scene3d>
          <a:camera prst="orthographicFront">
            <a:rot lat="0" lon="0" rev="0"/>
          </a:camera>
          <a:lightRig rig="glow" dir="t">
            <a:rot lat="0" lon="0" rev="4800000"/>
          </a:lightRig>
        </a:scene3d>
        <a:sp3d prstMaterial="matte">
          <a:bevelT w="127000" h="63500" prst="softRound"/>
        </a:sp3d>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ctr"/>
        <a:lstStyle/>
        <a:p>
          <a:pPr algn="ctr"/>
          <a:r>
            <a:rPr lang="en-IN" sz="1800" b="1" i="0" u="none" strike="noStrike">
              <a:solidFill>
                <a:srgbClr val="002060"/>
              </a:solidFill>
              <a:latin typeface="+mn-lt"/>
              <a:ea typeface="Calibri"/>
              <a:cs typeface="Arial" panose="020B0604020202020204" pitchFamily="34" charset="0"/>
            </a:rPr>
            <a:t>TOTAL QUANTITY SOLD</a:t>
          </a:r>
        </a:p>
        <a:p>
          <a:pPr algn="ctr"/>
          <a:r>
            <a:rPr lang="en-IN" sz="1800" b="1" i="0" u="none" strike="noStrike">
              <a:solidFill>
                <a:srgbClr val="002060"/>
              </a:solidFill>
              <a:latin typeface="+mn-lt"/>
              <a:ea typeface="Calibri"/>
              <a:cs typeface="Arial" panose="020B0604020202020204" pitchFamily="34" charset="0"/>
            </a:rPr>
            <a:t>905</a:t>
          </a:r>
        </a:p>
      </xdr:txBody>
    </xdr:sp>
    <xdr:clientData/>
  </xdr:twoCellAnchor>
  <xdr:twoCellAnchor>
    <xdr:from>
      <xdr:col>14</xdr:col>
      <xdr:colOff>350645</xdr:colOff>
      <xdr:row>16</xdr:row>
      <xdr:rowOff>136071</xdr:rowOff>
    </xdr:from>
    <xdr:to>
      <xdr:col>22</xdr:col>
      <xdr:colOff>340178</xdr:colOff>
      <xdr:row>35</xdr:row>
      <xdr:rowOff>115136</xdr:rowOff>
    </xdr:to>
    <xdr:graphicFrame macro="">
      <xdr:nvGraphicFramePr>
        <xdr:cNvPr id="19" name="Chart 18">
          <a:extLst>
            <a:ext uri="{FF2B5EF4-FFF2-40B4-BE49-F238E27FC236}">
              <a16:creationId xmlns:a16="http://schemas.microsoft.com/office/drawing/2014/main" id="{9E73CFBF-8832-4173-A0DA-DFA2BB1B1B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228531</xdr:colOff>
      <xdr:row>38</xdr:row>
      <xdr:rowOff>43613</xdr:rowOff>
    </xdr:from>
    <xdr:to>
      <xdr:col>13</xdr:col>
      <xdr:colOff>176195</xdr:colOff>
      <xdr:row>57</xdr:row>
      <xdr:rowOff>33145</xdr:rowOff>
    </xdr:to>
    <xdr:graphicFrame macro="">
      <xdr:nvGraphicFramePr>
        <xdr:cNvPr id="15" name="Chart 14">
          <a:extLst>
            <a:ext uri="{FF2B5EF4-FFF2-40B4-BE49-F238E27FC236}">
              <a16:creationId xmlns:a16="http://schemas.microsoft.com/office/drawing/2014/main" id="{030ECA97-E11B-45AA-8F5F-567DE14BBE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338432</xdr:colOff>
      <xdr:row>38</xdr:row>
      <xdr:rowOff>71526</xdr:rowOff>
    </xdr:from>
    <xdr:to>
      <xdr:col>22</xdr:col>
      <xdr:colOff>390768</xdr:colOff>
      <xdr:row>57</xdr:row>
      <xdr:rowOff>141306</xdr:rowOff>
    </xdr:to>
    <xdr:graphicFrame macro="">
      <xdr:nvGraphicFramePr>
        <xdr:cNvPr id="20" name="Chart 19">
          <a:extLst>
            <a:ext uri="{FF2B5EF4-FFF2-40B4-BE49-F238E27FC236}">
              <a16:creationId xmlns:a16="http://schemas.microsoft.com/office/drawing/2014/main" id="{83C1E566-4552-4F80-9938-B7273DB02E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509393</xdr:colOff>
      <xdr:row>22</xdr:row>
      <xdr:rowOff>64546</xdr:rowOff>
    </xdr:from>
    <xdr:to>
      <xdr:col>4</xdr:col>
      <xdr:colOff>45355</xdr:colOff>
      <xdr:row>30</xdr:row>
      <xdr:rowOff>106414</xdr:rowOff>
    </xdr:to>
    <mc:AlternateContent xmlns:mc="http://schemas.openxmlformats.org/markup-compatibility/2006" xmlns:a14="http://schemas.microsoft.com/office/drawing/2010/main">
      <mc:Choice Requires="a14">
        <xdr:graphicFrame macro="">
          <xdr:nvGraphicFramePr>
            <xdr:cNvPr id="21" name="Category 1">
              <a:extLst>
                <a:ext uri="{FF2B5EF4-FFF2-40B4-BE49-F238E27FC236}">
                  <a16:creationId xmlns:a16="http://schemas.microsoft.com/office/drawing/2014/main" id="{2EC32488-DD4B-4DCF-9BB4-C0162832DBF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09393" y="4120352"/>
              <a:ext cx="1994027" cy="15167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504161</xdr:colOff>
      <xdr:row>32</xdr:row>
      <xdr:rowOff>33147</xdr:rowOff>
    </xdr:from>
    <xdr:to>
      <xdr:col>4</xdr:col>
      <xdr:colOff>134326</xdr:colOff>
      <xdr:row>45</xdr:row>
      <xdr:rowOff>107986</xdr:rowOff>
    </xdr:to>
    <mc:AlternateContent xmlns:mc="http://schemas.openxmlformats.org/markup-compatibility/2006" xmlns:a14="http://schemas.microsoft.com/office/drawing/2010/main">
      <mc:Choice Requires="a14">
        <xdr:graphicFrame macro="">
          <xdr:nvGraphicFramePr>
            <xdr:cNvPr id="22" name="Total Sales 1">
              <a:extLst>
                <a:ext uri="{FF2B5EF4-FFF2-40B4-BE49-F238E27FC236}">
                  <a16:creationId xmlns:a16="http://schemas.microsoft.com/office/drawing/2014/main" id="{972AF4DF-1287-4D5E-83A4-2FFD7C74E7B6}"/>
                </a:ext>
              </a:extLst>
            </xdr:cNvPr>
            <xdr:cNvGraphicFramePr/>
          </xdr:nvGraphicFramePr>
          <xdr:xfrm>
            <a:off x="0" y="0"/>
            <a:ext cx="0" cy="0"/>
          </xdr:xfrm>
          <a:graphic>
            <a:graphicData uri="http://schemas.microsoft.com/office/drawing/2010/slicer">
              <sle:slicer xmlns:sle="http://schemas.microsoft.com/office/drawing/2010/slicer" name="Total Sales 1"/>
            </a:graphicData>
          </a:graphic>
        </xdr:graphicFrame>
      </mc:Choice>
      <mc:Fallback xmlns="">
        <xdr:sp macro="" textlink="">
          <xdr:nvSpPr>
            <xdr:cNvPr id="0" name=""/>
            <xdr:cNvSpPr>
              <a:spLocks noTextEdit="1"/>
            </xdr:cNvSpPr>
          </xdr:nvSpPr>
          <xdr:spPr>
            <a:xfrm>
              <a:off x="504161" y="5932502"/>
              <a:ext cx="2088230" cy="24714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484972</xdr:colOff>
      <xdr:row>47</xdr:row>
      <xdr:rowOff>134326</xdr:rowOff>
    </xdr:from>
    <xdr:to>
      <xdr:col>4</xdr:col>
      <xdr:colOff>125603</xdr:colOff>
      <xdr:row>56</xdr:row>
      <xdr:rowOff>167474</xdr:rowOff>
    </xdr:to>
    <mc:AlternateContent xmlns:mc="http://schemas.openxmlformats.org/markup-compatibility/2006" xmlns:a14="http://schemas.microsoft.com/office/drawing/2010/main">
      <mc:Choice Requires="a14">
        <xdr:graphicFrame macro="">
          <xdr:nvGraphicFramePr>
            <xdr:cNvPr id="23" name="Store Name 1">
              <a:extLst>
                <a:ext uri="{FF2B5EF4-FFF2-40B4-BE49-F238E27FC236}">
                  <a16:creationId xmlns:a16="http://schemas.microsoft.com/office/drawing/2014/main" id="{A6D09AC3-B26D-4AD6-A239-1A4D8B33BC0B}"/>
                </a:ext>
              </a:extLst>
            </xdr:cNvPr>
            <xdr:cNvGraphicFramePr/>
          </xdr:nvGraphicFramePr>
          <xdr:xfrm>
            <a:off x="0" y="0"/>
            <a:ext cx="0" cy="0"/>
          </xdr:xfrm>
          <a:graphic>
            <a:graphicData uri="http://schemas.microsoft.com/office/drawing/2010/slicer">
              <sle:slicer xmlns:sle="http://schemas.microsoft.com/office/drawing/2010/slicer" name="Store Name 1"/>
            </a:graphicData>
          </a:graphic>
        </xdr:graphicFrame>
      </mc:Choice>
      <mc:Fallback xmlns="">
        <xdr:sp macro="" textlink="">
          <xdr:nvSpPr>
            <xdr:cNvPr id="0" name=""/>
            <xdr:cNvSpPr>
              <a:spLocks noTextEdit="1"/>
            </xdr:cNvSpPr>
          </xdr:nvSpPr>
          <xdr:spPr>
            <a:xfrm>
              <a:off x="484972" y="8799003"/>
              <a:ext cx="2098696" cy="16923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551264</xdr:colOff>
      <xdr:row>10</xdr:row>
      <xdr:rowOff>8723</xdr:rowOff>
    </xdr:from>
    <xdr:to>
      <xdr:col>4</xdr:col>
      <xdr:colOff>76758</xdr:colOff>
      <xdr:row>20</xdr:row>
      <xdr:rowOff>81992</xdr:rowOff>
    </xdr:to>
    <xdr:pic>
      <xdr:nvPicPr>
        <xdr:cNvPr id="24" name="Picture 23">
          <a:extLst>
            <a:ext uri="{FF2B5EF4-FFF2-40B4-BE49-F238E27FC236}">
              <a16:creationId xmlns:a16="http://schemas.microsoft.com/office/drawing/2014/main" id="{DE7BAA93-2761-4F26-86EE-58A013FCE5A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51264" y="1962569"/>
          <a:ext cx="1967802" cy="2027115"/>
        </a:xfrm>
        <a:prstGeom prst="round2DiagRect">
          <a:avLst>
            <a:gd name="adj1" fmla="val 16667"/>
            <a:gd name="adj2" fmla="val 0"/>
          </a:avLst>
        </a:prstGeom>
        <a:ln w="88900" cap="sq">
          <a:solidFill>
            <a:srgbClr val="FFFFFF"/>
          </a:solidFill>
          <a:miter lim="800000"/>
        </a:ln>
        <a:effectLst>
          <a:outerShdw blurRad="254000" algn="tl" rotWithShape="0">
            <a:srgbClr val="000000">
              <a:alpha val="43000"/>
            </a:srgbClr>
          </a:outerShdw>
        </a:effectLst>
      </xdr:spPr>
    </xdr:pic>
    <xdr:clientData/>
  </xdr:twoCellAnchor>
  <xdr:twoCellAnchor>
    <xdr:from>
      <xdr:col>1</xdr:col>
      <xdr:colOff>36634</xdr:colOff>
      <xdr:row>3</xdr:row>
      <xdr:rowOff>24423</xdr:rowOff>
    </xdr:from>
    <xdr:to>
      <xdr:col>1</xdr:col>
      <xdr:colOff>48846</xdr:colOff>
      <xdr:row>7</xdr:row>
      <xdr:rowOff>97692</xdr:rowOff>
    </xdr:to>
    <xdr:cxnSp macro="">
      <xdr:nvCxnSpPr>
        <xdr:cNvPr id="28" name="Straight Arrow Connector 27"/>
        <xdr:cNvCxnSpPr/>
      </xdr:nvCxnSpPr>
      <xdr:spPr>
        <a:xfrm flipH="1">
          <a:off x="647211" y="610577"/>
          <a:ext cx="12212" cy="85480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256442</xdr:colOff>
      <xdr:row>3</xdr:row>
      <xdr:rowOff>31401</xdr:rowOff>
    </xdr:from>
    <xdr:to>
      <xdr:col>20</xdr:col>
      <xdr:colOff>282610</xdr:colOff>
      <xdr:row>7</xdr:row>
      <xdr:rowOff>52334</xdr:rowOff>
    </xdr:to>
    <xdr:sp macro="" textlink="">
      <xdr:nvSpPr>
        <xdr:cNvPr id="2" name="Rounded Rectangle 1"/>
        <xdr:cNvSpPr/>
      </xdr:nvSpPr>
      <xdr:spPr>
        <a:xfrm>
          <a:off x="3914042" y="602901"/>
          <a:ext cx="8560568" cy="782933"/>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293077</xdr:colOff>
      <xdr:row>2</xdr:row>
      <xdr:rowOff>125605</xdr:rowOff>
    </xdr:from>
    <xdr:to>
      <xdr:col>22</xdr:col>
      <xdr:colOff>256737</xdr:colOff>
      <xdr:row>7</xdr:row>
      <xdr:rowOff>46089</xdr:rowOff>
    </xdr:to>
    <xdr:sp macro="" textlink="">
      <xdr:nvSpPr>
        <xdr:cNvPr id="3" name="TextBox 2"/>
        <xdr:cNvSpPr txBox="1"/>
      </xdr:nvSpPr>
      <xdr:spPr>
        <a:xfrm>
          <a:off x="3341077" y="506605"/>
          <a:ext cx="10326860" cy="872984"/>
        </a:xfrm>
        <a:prstGeom prst="rect">
          <a:avLst/>
        </a:prstGeom>
        <a:solidFill>
          <a:schemeClr val="bg1">
            <a:lumMod val="75000"/>
          </a:schemeClr>
        </a:solidFill>
        <a:ln>
          <a:noFill/>
        </a:ln>
        <a:effectLst>
          <a:outerShdw blurRad="190500" dist="228600" dir="2700000" algn="ctr">
            <a:srgbClr val="000000">
              <a:alpha val="30000"/>
            </a:srgbClr>
          </a:outerShdw>
          <a:reflection blurRad="6350" stA="52000" endA="300" endPos="35000" dir="5400000" sy="-100000" algn="bl" rotWithShape="0"/>
        </a:effectLst>
        <a:scene3d>
          <a:camera prst="orthographicFront">
            <a:rot lat="0" lon="0" rev="0"/>
          </a:camera>
          <a:lightRig rig="glow" dir="t">
            <a:rot lat="0" lon="0" rev="4800000"/>
          </a:lightRig>
        </a:scene3d>
        <a:sp3d prstMaterial="matte">
          <a:bevelT w="127000" h="63500" prst="softRound"/>
        </a:sp3d>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IN" sz="3600" b="1" u="sng">
              <a:solidFill>
                <a:srgbClr val="002060"/>
              </a:solidFill>
              <a:effectLst/>
              <a:latin typeface="Arial" panose="020B0604020202020204" pitchFamily="34" charset="0"/>
              <a:ea typeface="+mn-ea"/>
              <a:cs typeface="Arial" panose="020B0604020202020204" pitchFamily="34" charset="0"/>
            </a:rPr>
            <a:t>STORE</a:t>
          </a:r>
          <a:r>
            <a:rPr lang="en-IN" sz="3600" b="1" u="sng" baseline="0">
              <a:solidFill>
                <a:srgbClr val="002060"/>
              </a:solidFill>
              <a:effectLst/>
              <a:latin typeface="Arial" panose="020B0604020202020204" pitchFamily="34" charset="0"/>
              <a:ea typeface="+mn-ea"/>
              <a:cs typeface="Arial" panose="020B0604020202020204" pitchFamily="34" charset="0"/>
            </a:rPr>
            <a:t> DATA DASHBOARD</a:t>
          </a:r>
          <a:endParaRPr lang="en-IN" sz="3600">
            <a:solidFill>
              <a:srgbClr val="002060"/>
            </a:solidFill>
            <a:effectLst/>
            <a:latin typeface="Arial" panose="020B0604020202020204" pitchFamily="34" charset="0"/>
            <a:cs typeface="Arial" panose="020B0604020202020204" pitchFamily="34" charset="0"/>
          </a:endParaRPr>
        </a:p>
        <a:p>
          <a:pPr algn="r"/>
          <a:endParaRPr lang="en-IN" sz="2000" b="1" i="0" u="none" strike="noStrike">
            <a:solidFill>
              <a:schemeClr val="tx1"/>
            </a:solidFill>
            <a:latin typeface="Arial" panose="020B0604020202020204" pitchFamily="34" charset="0"/>
            <a:ea typeface="Calibri"/>
            <a:cs typeface="Arial" panose="020B0604020202020204" pitchFamily="34" charset="0"/>
          </a:endParaRPr>
        </a:p>
      </xdr:txBody>
    </xdr:sp>
    <xdr:clientData/>
  </xdr:twoCellAnchor>
  <xdr:twoCellAnchor>
    <xdr:from>
      <xdr:col>5</xdr:col>
      <xdr:colOff>233803</xdr:colOff>
      <xdr:row>16</xdr:row>
      <xdr:rowOff>134328</xdr:rowOff>
    </xdr:from>
    <xdr:to>
      <xdr:col>13</xdr:col>
      <xdr:colOff>261676</xdr:colOff>
      <xdr:row>30</xdr:row>
      <xdr:rowOff>0</xdr:rowOff>
    </xdr:to>
    <xdr:graphicFrame macro="">
      <xdr:nvGraphicFramePr>
        <xdr:cNvPr id="5" name="Chart 4">
          <a:extLst>
            <a:ext uri="{FF2B5EF4-FFF2-40B4-BE49-F238E27FC236}">
              <a16:creationId xmlns:a16="http://schemas.microsoft.com/office/drawing/2014/main" id="{E9D70CC7-BE4E-4191-9CE9-9A896016FB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73268</xdr:colOff>
      <xdr:row>9</xdr:row>
      <xdr:rowOff>125605</xdr:rowOff>
    </xdr:from>
    <xdr:to>
      <xdr:col>8</xdr:col>
      <xdr:colOff>471016</xdr:colOff>
      <xdr:row>14</xdr:row>
      <xdr:rowOff>10467</xdr:rowOff>
    </xdr:to>
    <xdr:sp macro="" textlink="">
      <xdr:nvSpPr>
        <xdr:cNvPr id="6" name="Rounded Rectangle 5"/>
        <xdr:cNvSpPr/>
      </xdr:nvSpPr>
      <xdr:spPr>
        <a:xfrm>
          <a:off x="3730868" y="1840105"/>
          <a:ext cx="1616948" cy="837362"/>
        </a:xfrm>
        <a:prstGeom prst="round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280866</xdr:colOff>
      <xdr:row>9</xdr:row>
      <xdr:rowOff>136072</xdr:rowOff>
    </xdr:from>
    <xdr:to>
      <xdr:col>14</xdr:col>
      <xdr:colOff>376813</xdr:colOff>
      <xdr:row>14</xdr:row>
      <xdr:rowOff>62803</xdr:rowOff>
    </xdr:to>
    <xdr:sp macro="" textlink="">
      <xdr:nvSpPr>
        <xdr:cNvPr id="7" name="Rounded Rectangle 6"/>
        <xdr:cNvSpPr/>
      </xdr:nvSpPr>
      <xdr:spPr>
        <a:xfrm>
          <a:off x="6986466" y="1850572"/>
          <a:ext cx="1924747" cy="879231"/>
        </a:xfrm>
        <a:prstGeom prst="round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97692</xdr:colOff>
      <xdr:row>9</xdr:row>
      <xdr:rowOff>125605</xdr:rowOff>
    </xdr:from>
    <xdr:to>
      <xdr:col>20</xdr:col>
      <xdr:colOff>460550</xdr:colOff>
      <xdr:row>14</xdr:row>
      <xdr:rowOff>83737</xdr:rowOff>
    </xdr:to>
    <xdr:sp macro="" textlink="">
      <xdr:nvSpPr>
        <xdr:cNvPr id="8" name="Rounded Rectangle 7"/>
        <xdr:cNvSpPr/>
      </xdr:nvSpPr>
      <xdr:spPr>
        <a:xfrm>
          <a:off x="10460892" y="1840105"/>
          <a:ext cx="2191658" cy="910632"/>
        </a:xfrm>
        <a:prstGeom prst="round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273887</xdr:colOff>
      <xdr:row>9</xdr:row>
      <xdr:rowOff>102925</xdr:rowOff>
    </xdr:from>
    <xdr:to>
      <xdr:col>10</xdr:col>
      <xdr:colOff>71524</xdr:colOff>
      <xdr:row>14</xdr:row>
      <xdr:rowOff>92457</xdr:rowOff>
    </xdr:to>
    <xdr:sp macro="" textlink="">
      <xdr:nvSpPr>
        <xdr:cNvPr id="9" name="TextBox 8"/>
        <xdr:cNvSpPr txBox="1"/>
      </xdr:nvSpPr>
      <xdr:spPr>
        <a:xfrm>
          <a:off x="3321887" y="1817425"/>
          <a:ext cx="2845637" cy="942032"/>
        </a:xfrm>
        <a:prstGeom prst="rect">
          <a:avLst/>
        </a:prstGeom>
        <a:solidFill>
          <a:schemeClr val="bg2">
            <a:lumMod val="90000"/>
          </a:schemeClr>
        </a:solidFill>
        <a:ln>
          <a:noFill/>
        </a:ln>
        <a:effectLst>
          <a:outerShdw blurRad="190500" dist="228600" dir="2700000" algn="ctr">
            <a:srgbClr val="000000">
              <a:alpha val="30000"/>
            </a:srgbClr>
          </a:outerShdw>
          <a:reflection blurRad="6350" stA="52000" endA="300" endPos="35000" dir="5400000" sy="-100000" algn="bl" rotWithShape="0"/>
        </a:effectLst>
        <a:scene3d>
          <a:camera prst="orthographicFront">
            <a:rot lat="0" lon="0" rev="0"/>
          </a:camera>
          <a:lightRig rig="glow" dir="t">
            <a:rot lat="0" lon="0" rev="4800000"/>
          </a:lightRig>
        </a:scene3d>
        <a:sp3d prstMaterial="matte">
          <a:bevelT w="127000" h="63500" prst="softRound"/>
        </a:sp3d>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ctr"/>
        <a:lstStyle/>
        <a:p>
          <a:pPr algn="ctr"/>
          <a:r>
            <a:rPr lang="en-IN" sz="1800" b="1" i="0">
              <a:solidFill>
                <a:srgbClr val="002060"/>
              </a:solidFill>
              <a:effectLst/>
              <a:latin typeface="+mn-lt"/>
              <a:ea typeface="+mn-ea"/>
              <a:cs typeface="+mn-cs"/>
            </a:rPr>
            <a:t>TOTAL</a:t>
          </a:r>
          <a:r>
            <a:rPr lang="en-IN" sz="1800" b="1" i="0" baseline="0">
              <a:solidFill>
                <a:srgbClr val="002060"/>
              </a:solidFill>
              <a:effectLst/>
              <a:latin typeface="+mn-lt"/>
              <a:ea typeface="+mn-ea"/>
              <a:cs typeface="+mn-cs"/>
            </a:rPr>
            <a:t> SALES</a:t>
          </a:r>
        </a:p>
        <a:p>
          <a:pPr algn="ctr"/>
          <a:r>
            <a:rPr lang="en-IN" sz="1800" b="1" i="0" u="none" strike="noStrike">
              <a:solidFill>
                <a:srgbClr val="002060"/>
              </a:solidFill>
              <a:effectLst/>
              <a:latin typeface="+mn-lt"/>
              <a:ea typeface="+mn-ea"/>
              <a:cs typeface="+mn-cs"/>
            </a:rPr>
            <a:t>₹ 11,49,700.00</a:t>
          </a:r>
          <a:r>
            <a:rPr lang="en-IN" sz="1800" b="1">
              <a:solidFill>
                <a:srgbClr val="002060"/>
              </a:solidFill>
              <a:latin typeface="+mn-lt"/>
            </a:rPr>
            <a:t> </a:t>
          </a:r>
          <a:endParaRPr lang="en-IN" sz="1800" b="1" i="0">
            <a:solidFill>
              <a:srgbClr val="002060"/>
            </a:solidFill>
            <a:effectLst/>
            <a:latin typeface="+mn-lt"/>
            <a:ea typeface="+mn-ea"/>
            <a:cs typeface="+mn-cs"/>
          </a:endParaRPr>
        </a:p>
      </xdr:txBody>
    </xdr:sp>
    <xdr:clientData/>
  </xdr:twoCellAnchor>
  <xdr:twoCellAnchor>
    <xdr:from>
      <xdr:col>11</xdr:col>
      <xdr:colOff>120372</xdr:colOff>
      <xdr:row>9</xdr:row>
      <xdr:rowOff>122117</xdr:rowOff>
    </xdr:from>
    <xdr:to>
      <xdr:col>16</xdr:col>
      <xdr:colOff>151773</xdr:colOff>
      <xdr:row>14</xdr:row>
      <xdr:rowOff>122117</xdr:rowOff>
    </xdr:to>
    <xdr:sp macro="" textlink="">
      <xdr:nvSpPr>
        <xdr:cNvPr id="10" name="TextBox 9"/>
        <xdr:cNvSpPr txBox="1"/>
      </xdr:nvSpPr>
      <xdr:spPr>
        <a:xfrm>
          <a:off x="6825972" y="1836617"/>
          <a:ext cx="3079401" cy="952500"/>
        </a:xfrm>
        <a:prstGeom prst="rect">
          <a:avLst/>
        </a:prstGeom>
        <a:solidFill>
          <a:schemeClr val="bg2">
            <a:lumMod val="90000"/>
          </a:schemeClr>
        </a:solidFill>
        <a:ln>
          <a:noFill/>
        </a:ln>
        <a:effectLst>
          <a:outerShdw blurRad="190500" dist="228600" dir="2700000" algn="ctr">
            <a:srgbClr val="000000">
              <a:alpha val="30000"/>
            </a:srgbClr>
          </a:outerShdw>
          <a:reflection blurRad="6350" stA="52000" endA="300" endPos="35000" dir="5400000" sy="-100000" algn="bl" rotWithShape="0"/>
        </a:effectLst>
        <a:scene3d>
          <a:camera prst="orthographicFront">
            <a:rot lat="0" lon="0" rev="0"/>
          </a:camera>
          <a:lightRig rig="glow" dir="t">
            <a:rot lat="0" lon="0" rev="4800000"/>
          </a:lightRig>
        </a:scene3d>
        <a:sp3d prstMaterial="matte">
          <a:bevelT w="127000" h="63500" prst="softRound"/>
        </a:sp3d>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ctr"/>
        <a:lstStyle/>
        <a:p>
          <a:pPr algn="ctr"/>
          <a:r>
            <a:rPr lang="en-IN" sz="1800" b="1" i="0" u="none" strike="noStrike">
              <a:solidFill>
                <a:srgbClr val="002060"/>
              </a:solidFill>
              <a:latin typeface="+mn-lt"/>
              <a:ea typeface="Calibri"/>
              <a:cs typeface="Arial" panose="020B0604020202020204" pitchFamily="34" charset="0"/>
            </a:rPr>
            <a:t>TOTAL ORDERS</a:t>
          </a:r>
          <a:endParaRPr lang="en-IN" sz="1800" b="1" i="0" u="none" strike="noStrike">
            <a:solidFill>
              <a:srgbClr val="002060"/>
            </a:solidFill>
            <a:effectLst/>
            <a:latin typeface="+mn-lt"/>
            <a:ea typeface="+mn-ea"/>
            <a:cs typeface="+mn-cs"/>
          </a:endParaRPr>
        </a:p>
        <a:p>
          <a:pPr algn="ctr"/>
          <a:r>
            <a:rPr lang="en-IN" sz="1800" b="1" i="0" u="none" strike="noStrike">
              <a:solidFill>
                <a:srgbClr val="002060"/>
              </a:solidFill>
              <a:effectLst/>
              <a:latin typeface="+mn-lt"/>
              <a:ea typeface="+mn-ea"/>
              <a:cs typeface="+mn-cs"/>
            </a:rPr>
            <a:t>300</a:t>
          </a:r>
          <a:endParaRPr lang="en-IN" sz="1800" b="1" i="0" u="none" strike="noStrike">
            <a:solidFill>
              <a:srgbClr val="002060"/>
            </a:solidFill>
            <a:latin typeface="+mn-lt"/>
            <a:ea typeface="Calibri"/>
            <a:cs typeface="Arial" panose="020B0604020202020204" pitchFamily="34" charset="0"/>
          </a:endParaRPr>
        </a:p>
      </xdr:txBody>
    </xdr:sp>
    <xdr:clientData/>
  </xdr:twoCellAnchor>
  <xdr:twoCellAnchor>
    <xdr:from>
      <xdr:col>17</xdr:col>
      <xdr:colOff>92459</xdr:colOff>
      <xdr:row>9</xdr:row>
      <xdr:rowOff>116882</xdr:rowOff>
    </xdr:from>
    <xdr:to>
      <xdr:col>22</xdr:col>
      <xdr:colOff>238998</xdr:colOff>
      <xdr:row>14</xdr:row>
      <xdr:rowOff>127349</xdr:rowOff>
    </xdr:to>
    <xdr:sp macro="" textlink="">
      <xdr:nvSpPr>
        <xdr:cNvPr id="11" name="TextBox 10"/>
        <xdr:cNvSpPr txBox="1"/>
      </xdr:nvSpPr>
      <xdr:spPr>
        <a:xfrm>
          <a:off x="10455659" y="1831382"/>
          <a:ext cx="3194539" cy="962967"/>
        </a:xfrm>
        <a:prstGeom prst="rect">
          <a:avLst/>
        </a:prstGeom>
        <a:solidFill>
          <a:schemeClr val="bg2">
            <a:lumMod val="90000"/>
          </a:schemeClr>
        </a:solidFill>
        <a:ln>
          <a:noFill/>
        </a:ln>
        <a:effectLst>
          <a:outerShdw blurRad="190500" dist="228600" dir="2700000" algn="ctr">
            <a:srgbClr val="000000">
              <a:alpha val="30000"/>
            </a:srgbClr>
          </a:outerShdw>
          <a:reflection blurRad="6350" stA="52000" endA="300" endPos="35000" dir="5400000" sy="-100000" algn="bl" rotWithShape="0"/>
        </a:effectLst>
        <a:scene3d>
          <a:camera prst="orthographicFront">
            <a:rot lat="0" lon="0" rev="0"/>
          </a:camera>
          <a:lightRig rig="glow" dir="t">
            <a:rot lat="0" lon="0" rev="4800000"/>
          </a:lightRig>
        </a:scene3d>
        <a:sp3d prstMaterial="matte">
          <a:bevelT w="127000" h="63500" prst="softRound"/>
        </a:sp3d>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ctr"/>
        <a:lstStyle/>
        <a:p>
          <a:pPr algn="ctr"/>
          <a:r>
            <a:rPr lang="en-IN" sz="1800" b="1" i="0" u="none" strike="noStrike">
              <a:solidFill>
                <a:srgbClr val="002060"/>
              </a:solidFill>
              <a:latin typeface="+mn-lt"/>
              <a:ea typeface="Calibri"/>
              <a:cs typeface="Arial" panose="020B0604020202020204" pitchFamily="34" charset="0"/>
            </a:rPr>
            <a:t>TOTAL QUANTITY SOLD</a:t>
          </a:r>
        </a:p>
        <a:p>
          <a:pPr algn="ctr"/>
          <a:r>
            <a:rPr lang="en-IN" sz="1800" b="1" i="0" u="none" strike="noStrike">
              <a:solidFill>
                <a:srgbClr val="002060"/>
              </a:solidFill>
              <a:latin typeface="+mn-lt"/>
              <a:ea typeface="Calibri"/>
              <a:cs typeface="Arial" panose="020B0604020202020204" pitchFamily="34" charset="0"/>
            </a:rPr>
            <a:t>905</a:t>
          </a:r>
        </a:p>
      </xdr:txBody>
    </xdr:sp>
    <xdr:clientData/>
  </xdr:twoCellAnchor>
  <xdr:twoCellAnchor>
    <xdr:from>
      <xdr:col>14</xdr:col>
      <xdr:colOff>350645</xdr:colOff>
      <xdr:row>16</xdr:row>
      <xdr:rowOff>136071</xdr:rowOff>
    </xdr:from>
    <xdr:to>
      <xdr:col>22</xdr:col>
      <xdr:colOff>340178</xdr:colOff>
      <xdr:row>30</xdr:row>
      <xdr:rowOff>31750</xdr:rowOff>
    </xdr:to>
    <xdr:graphicFrame macro="">
      <xdr:nvGraphicFramePr>
        <xdr:cNvPr id="12" name="Chart 11">
          <a:extLst>
            <a:ext uri="{FF2B5EF4-FFF2-40B4-BE49-F238E27FC236}">
              <a16:creationId xmlns:a16="http://schemas.microsoft.com/office/drawing/2014/main" id="{9E73CFBF-8832-4173-A0DA-DFA2BB1B1B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260281</xdr:colOff>
      <xdr:row>31</xdr:row>
      <xdr:rowOff>167438</xdr:rowOff>
    </xdr:from>
    <xdr:to>
      <xdr:col>13</xdr:col>
      <xdr:colOff>207945</xdr:colOff>
      <xdr:row>47</xdr:row>
      <xdr:rowOff>107950</xdr:rowOff>
    </xdr:to>
    <xdr:graphicFrame macro="">
      <xdr:nvGraphicFramePr>
        <xdr:cNvPr id="13" name="Chart 12">
          <a:extLst>
            <a:ext uri="{FF2B5EF4-FFF2-40B4-BE49-F238E27FC236}">
              <a16:creationId xmlns:a16="http://schemas.microsoft.com/office/drawing/2014/main" id="{030ECA97-E11B-45AA-8F5F-567DE14BBE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290807</xdr:colOff>
      <xdr:row>32</xdr:row>
      <xdr:rowOff>8026</xdr:rowOff>
    </xdr:from>
    <xdr:to>
      <xdr:col>22</xdr:col>
      <xdr:colOff>343143</xdr:colOff>
      <xdr:row>47</xdr:row>
      <xdr:rowOff>174625</xdr:rowOff>
    </xdr:to>
    <xdr:graphicFrame macro="">
      <xdr:nvGraphicFramePr>
        <xdr:cNvPr id="14" name="Chart 13">
          <a:extLst>
            <a:ext uri="{FF2B5EF4-FFF2-40B4-BE49-F238E27FC236}">
              <a16:creationId xmlns:a16="http://schemas.microsoft.com/office/drawing/2014/main" id="{83C1E566-4552-4F80-9938-B7273DB02E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566543</xdr:colOff>
      <xdr:row>17</xdr:row>
      <xdr:rowOff>45496</xdr:rowOff>
    </xdr:from>
    <xdr:to>
      <xdr:col>4</xdr:col>
      <xdr:colOff>102505</xdr:colOff>
      <xdr:row>26</xdr:row>
      <xdr:rowOff>95250</xdr:rowOff>
    </xdr:to>
    <mc:AlternateContent xmlns:mc="http://schemas.openxmlformats.org/markup-compatibility/2006">
      <mc:Choice xmlns:a14="http://schemas.microsoft.com/office/drawing/2010/main" Requires="a14">
        <xdr:graphicFrame macro="">
          <xdr:nvGraphicFramePr>
            <xdr:cNvPr id="15" name="Category 2">
              <a:extLst>
                <a:ext uri="{FF2B5EF4-FFF2-40B4-BE49-F238E27FC236}">
                  <a16:creationId xmlns:a16="http://schemas.microsoft.com/office/drawing/2014/main" id="{2EC32488-DD4B-4DCF-9BB4-C0162832DBF9}"/>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566543" y="3418934"/>
              <a:ext cx="1996587" cy="18356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580361</xdr:colOff>
      <xdr:row>29</xdr:row>
      <xdr:rowOff>90298</xdr:rowOff>
    </xdr:from>
    <xdr:to>
      <xdr:col>4</xdr:col>
      <xdr:colOff>155575</xdr:colOff>
      <xdr:row>36</xdr:row>
      <xdr:rowOff>73026</xdr:rowOff>
    </xdr:to>
    <mc:AlternateContent xmlns:mc="http://schemas.openxmlformats.org/markup-compatibility/2006">
      <mc:Choice xmlns:a14="http://schemas.microsoft.com/office/drawing/2010/main" Requires="a14">
        <xdr:graphicFrame macro="">
          <xdr:nvGraphicFramePr>
            <xdr:cNvPr id="16" name="Total Sales 2">
              <a:extLst>
                <a:ext uri="{FF2B5EF4-FFF2-40B4-BE49-F238E27FC236}">
                  <a16:creationId xmlns:a16="http://schemas.microsoft.com/office/drawing/2014/main" id="{972AF4DF-1287-4D5E-83A4-2FFD7C74E7B6}"/>
                </a:ext>
              </a:extLst>
            </xdr:cNvPr>
            <xdr:cNvGraphicFramePr/>
          </xdr:nvGraphicFramePr>
          <xdr:xfrm>
            <a:off x="0" y="0"/>
            <a:ext cx="0" cy="0"/>
          </xdr:xfrm>
          <a:graphic>
            <a:graphicData uri="http://schemas.microsoft.com/office/drawing/2010/slicer">
              <sle:slicer xmlns:sle="http://schemas.microsoft.com/office/drawing/2010/slicer" name="Total Sales 2"/>
            </a:graphicData>
          </a:graphic>
        </xdr:graphicFrame>
      </mc:Choice>
      <mc:Fallback>
        <xdr:sp macro="" textlink="">
          <xdr:nvSpPr>
            <xdr:cNvPr id="0" name=""/>
            <xdr:cNvSpPr>
              <a:spLocks noTextEdit="1"/>
            </xdr:cNvSpPr>
          </xdr:nvSpPr>
          <xdr:spPr>
            <a:xfrm>
              <a:off x="580361" y="5844986"/>
              <a:ext cx="2035839" cy="13717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557997</xdr:colOff>
      <xdr:row>39</xdr:row>
      <xdr:rowOff>26376</xdr:rowOff>
    </xdr:from>
    <xdr:to>
      <xdr:col>4</xdr:col>
      <xdr:colOff>198628</xdr:colOff>
      <xdr:row>46</xdr:row>
      <xdr:rowOff>146050</xdr:rowOff>
    </xdr:to>
    <mc:AlternateContent xmlns:mc="http://schemas.openxmlformats.org/markup-compatibility/2006">
      <mc:Choice xmlns:a14="http://schemas.microsoft.com/office/drawing/2010/main" Requires="a14">
        <xdr:graphicFrame macro="">
          <xdr:nvGraphicFramePr>
            <xdr:cNvPr id="17" name="Store Name 2">
              <a:extLst>
                <a:ext uri="{FF2B5EF4-FFF2-40B4-BE49-F238E27FC236}">
                  <a16:creationId xmlns:a16="http://schemas.microsoft.com/office/drawing/2014/main" id="{A6D09AC3-B26D-4AD6-A239-1A4D8B33BC0B}"/>
                </a:ext>
              </a:extLst>
            </xdr:cNvPr>
            <xdr:cNvGraphicFramePr/>
          </xdr:nvGraphicFramePr>
          <xdr:xfrm>
            <a:off x="0" y="0"/>
            <a:ext cx="0" cy="0"/>
          </xdr:xfrm>
          <a:graphic>
            <a:graphicData uri="http://schemas.microsoft.com/office/drawing/2010/slicer">
              <sle:slicer xmlns:sle="http://schemas.microsoft.com/office/drawing/2010/slicer" name="Store Name 2"/>
            </a:graphicData>
          </a:graphic>
        </xdr:graphicFrame>
      </mc:Choice>
      <mc:Fallback>
        <xdr:sp macro="" textlink="">
          <xdr:nvSpPr>
            <xdr:cNvPr id="0" name=""/>
            <xdr:cNvSpPr>
              <a:spLocks noTextEdit="1"/>
            </xdr:cNvSpPr>
          </xdr:nvSpPr>
          <xdr:spPr>
            <a:xfrm>
              <a:off x="557997" y="7765439"/>
              <a:ext cx="2101256" cy="15087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36914</xdr:colOff>
      <xdr:row>3</xdr:row>
      <xdr:rowOff>46823</xdr:rowOff>
    </xdr:from>
    <xdr:to>
      <xdr:col>4</xdr:col>
      <xdr:colOff>172008</xdr:colOff>
      <xdr:row>13</xdr:row>
      <xdr:rowOff>120092</xdr:rowOff>
    </xdr:to>
    <xdr:pic>
      <xdr:nvPicPr>
        <xdr:cNvPr id="18" name="Picture 17">
          <a:extLst>
            <a:ext uri="{FF2B5EF4-FFF2-40B4-BE49-F238E27FC236}">
              <a16:creationId xmlns:a16="http://schemas.microsoft.com/office/drawing/2014/main" id="{DE7BAA93-2761-4F26-86EE-58A013FCE5A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46514" y="618323"/>
          <a:ext cx="1963894" cy="1978269"/>
        </a:xfrm>
        <a:prstGeom prst="round2DiagRect">
          <a:avLst>
            <a:gd name="adj1" fmla="val 16667"/>
            <a:gd name="adj2" fmla="val 0"/>
          </a:avLst>
        </a:prstGeom>
        <a:ln w="88900" cap="sq">
          <a:solidFill>
            <a:srgbClr val="FFFFFF"/>
          </a:solidFill>
          <a:miter lim="800000"/>
        </a:ln>
        <a:effectLst>
          <a:outerShdw blurRad="254000" algn="tl" rotWithShape="0">
            <a:srgbClr val="000000">
              <a:alpha val="43000"/>
            </a:srgbClr>
          </a:outerShdw>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43.528146296296" createdVersion="6" refreshedVersion="6" minRefreshableVersion="3" recordCount="300">
  <cacheSource type="worksheet">
    <worksheetSource ref="A1:I301" sheet="Data"/>
  </cacheSource>
  <cacheFields count="10">
    <cacheField name="Order ID" numFmtId="0">
      <sharedItems/>
    </cacheField>
    <cacheField name="Order Date" numFmtId="14">
      <sharedItems containsSemiMixedTypes="0" containsNonDate="0" containsDate="1" containsString="0" minDate="2025-01-01T00:00:00" maxDate="2025-04-02T00:00:00" count="88">
        <d v="2025-02-24T00:00:00"/>
        <d v="2025-02-22T00:00:00"/>
        <d v="2025-03-16T00:00:00"/>
        <d v="2025-01-06T00:00:00"/>
        <d v="2025-02-02T00:00:00"/>
        <d v="2025-01-03T00:00:00"/>
        <d v="2025-02-15T00:00:00"/>
        <d v="2025-01-16T00:00:00"/>
        <d v="2025-02-11T00:00:00"/>
        <d v="2025-01-30T00:00:00"/>
        <d v="2025-03-29T00:00:00"/>
        <d v="2025-03-27T00:00:00"/>
        <d v="2025-02-18T00:00:00"/>
        <d v="2025-01-14T00:00:00"/>
        <d v="2025-03-20T00:00:00"/>
        <d v="2025-01-15T00:00:00"/>
        <d v="2025-01-24T00:00:00"/>
        <d v="2025-03-09T00:00:00"/>
        <d v="2025-01-11T00:00:00"/>
        <d v="2025-03-10T00:00:00"/>
        <d v="2025-03-14T00:00:00"/>
        <d v="2025-02-04T00:00:00"/>
        <d v="2025-01-01T00:00:00"/>
        <d v="2025-01-25T00:00:00"/>
        <d v="2025-01-27T00:00:00"/>
        <d v="2025-03-07T00:00:00"/>
        <d v="2025-02-07T00:00:00"/>
        <d v="2025-01-04T00:00:00"/>
        <d v="2025-02-26T00:00:00"/>
        <d v="2025-01-19T00:00:00"/>
        <d v="2025-02-19T00:00:00"/>
        <d v="2025-02-21T00:00:00"/>
        <d v="2025-01-13T00:00:00"/>
        <d v="2025-03-13T00:00:00"/>
        <d v="2025-02-12T00:00:00"/>
        <d v="2025-02-16T00:00:00"/>
        <d v="2025-01-05T00:00:00"/>
        <d v="2025-03-24T00:00:00"/>
        <d v="2025-01-29T00:00:00"/>
        <d v="2025-02-05T00:00:00"/>
        <d v="2025-03-19T00:00:00"/>
        <d v="2025-01-18T00:00:00"/>
        <d v="2025-02-23T00:00:00"/>
        <d v="2025-02-06T00:00:00"/>
        <d v="2025-02-03T00:00:00"/>
        <d v="2025-01-07T00:00:00"/>
        <d v="2025-03-03T00:00:00"/>
        <d v="2025-01-10T00:00:00"/>
        <d v="2025-02-08T00:00:00"/>
        <d v="2025-01-21T00:00:00"/>
        <d v="2025-03-28T00:00:00"/>
        <d v="2025-01-23T00:00:00"/>
        <d v="2025-02-13T00:00:00"/>
        <d v="2025-03-18T00:00:00"/>
        <d v="2025-02-27T00:00:00"/>
        <d v="2025-03-26T00:00:00"/>
        <d v="2025-03-02T00:00:00"/>
        <d v="2025-01-28T00:00:00"/>
        <d v="2025-03-17T00:00:00"/>
        <d v="2025-02-25T00:00:00"/>
        <d v="2025-03-04T00:00:00"/>
        <d v="2025-03-08T00:00:00"/>
        <d v="2025-01-12T00:00:00"/>
        <d v="2025-01-08T00:00:00"/>
        <d v="2025-03-12T00:00:00"/>
        <d v="2025-02-20T00:00:00"/>
        <d v="2025-04-01T00:00:00"/>
        <d v="2025-03-01T00:00:00"/>
        <d v="2025-03-30T00:00:00"/>
        <d v="2025-03-23T00:00:00"/>
        <d v="2025-01-26T00:00:00"/>
        <d v="2025-03-22T00:00:00"/>
        <d v="2025-01-31T00:00:00"/>
        <d v="2025-01-22T00:00:00"/>
        <d v="2025-03-11T00:00:00"/>
        <d v="2025-03-05T00:00:00"/>
        <d v="2025-02-14T00:00:00"/>
        <d v="2025-03-21T00:00:00"/>
        <d v="2025-01-09T00:00:00"/>
        <d v="2025-03-31T00:00:00"/>
        <d v="2025-03-06T00:00:00"/>
        <d v="2025-02-10T00:00:00"/>
        <d v="2025-02-09T00:00:00"/>
        <d v="2025-03-25T00:00:00"/>
        <d v="2025-02-01T00:00:00"/>
        <d v="2025-01-17T00:00:00"/>
        <d v="2025-01-20T00:00:00"/>
        <d v="2025-03-15T00:00:00"/>
      </sharedItems>
      <fieldGroup par="9" base="1">
        <rangePr groupBy="days" startDate="2025-01-01T00:00:00" endDate="2025-04-02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4-2025"/>
        </groupItems>
      </fieldGroup>
    </cacheField>
    <cacheField name="Store Name" numFmtId="0">
      <sharedItems count="4">
        <s v="City Mart"/>
        <s v="Vrinda Store"/>
        <s v="Smart Bazaar"/>
        <s v="Mega Store"/>
      </sharedItems>
    </cacheField>
    <cacheField name="Product" numFmtId="0">
      <sharedItems count="8">
        <s v="Saree"/>
        <s v="Kurti"/>
        <s v="Sandals"/>
        <s v="Jeans"/>
        <s v="Soap"/>
        <s v="Shoes"/>
        <s v="Rice"/>
        <s v="Oil"/>
      </sharedItems>
    </cacheField>
    <cacheField name="Category" numFmtId="0">
      <sharedItems count="4">
        <s v="Apparel"/>
        <s v="Footwear"/>
        <s v="FMCG"/>
        <s v="Grocery"/>
      </sharedItems>
    </cacheField>
    <cacheField name="Quantity" numFmtId="0">
      <sharedItems containsSemiMixedTypes="0" containsString="0" containsNumber="1" containsInteger="1" minValue="1" maxValue="5"/>
    </cacheField>
    <cacheField name="Unit Price" numFmtId="0">
      <sharedItems containsSemiMixedTypes="0" containsString="0" containsNumber="1" containsInteger="1" minValue="40" maxValue="3500"/>
    </cacheField>
    <cacheField name="Total Sales" numFmtId="0">
      <sharedItems containsSemiMixedTypes="0" containsString="0" containsNumber="1" containsInteger="1" minValue="40" maxValue="17500" count="32">
        <n v="10500"/>
        <n v="1200"/>
        <n v="4800"/>
        <n v="3600"/>
        <n v="6000"/>
        <n v="9000"/>
        <n v="200"/>
        <n v="5000"/>
        <n v="120"/>
        <n v="12500"/>
        <n v="240"/>
        <n v="720"/>
        <n v="2400"/>
        <n v="2500"/>
        <n v="180"/>
        <n v="80"/>
        <n v="3500"/>
        <n v="40"/>
        <n v="300"/>
        <n v="900"/>
        <n v="540"/>
        <n v="1800"/>
        <n v="5400"/>
        <n v="160"/>
        <n v="17500"/>
        <n v="60"/>
        <n v="7500"/>
        <n v="10000"/>
        <n v="14000"/>
        <n v="360"/>
        <n v="7000"/>
        <n v="7200"/>
      </sharedItems>
    </cacheField>
    <cacheField name="Payment Mode" numFmtId="0">
      <sharedItems count="3">
        <s v="UPI"/>
        <s v="Card"/>
        <s v="Cash"/>
      </sharedItems>
    </cacheField>
    <cacheField name="Months" numFmtId="0" databaseField="0">
      <fieldGroup base="1">
        <rangePr groupBy="months" startDate="2025-01-01T00:00:00" endDate="2025-04-02T00:00:00"/>
        <groupItems count="14">
          <s v="&lt;01-01-2025"/>
          <s v="Jan"/>
          <s v="Feb"/>
          <s v="Mar"/>
          <s v="Apr"/>
          <s v="May"/>
          <s v="Jun"/>
          <s v="Jul"/>
          <s v="Aug"/>
          <s v="Sep"/>
          <s v="Oct"/>
          <s v="Nov"/>
          <s v="Dec"/>
          <s v="&gt;02-04-2025"/>
        </groupItems>
      </fieldGroup>
    </cacheField>
  </cacheFields>
  <extLst>
    <ext xmlns:x14="http://schemas.microsoft.com/office/spreadsheetml/2009/9/main" uri="{725AE2AE-9491-48be-B2B4-4EB974FC3084}">
      <x14:pivotCacheDefinition pivotCacheId="1174872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O0001"/>
    <x v="0"/>
    <x v="0"/>
    <x v="0"/>
    <x v="0"/>
    <n v="3"/>
    <n v="3500"/>
    <x v="0"/>
    <x v="0"/>
  </r>
  <r>
    <s v="O0002"/>
    <x v="1"/>
    <x v="1"/>
    <x v="1"/>
    <x v="0"/>
    <n v="1"/>
    <n v="1200"/>
    <x v="1"/>
    <x v="1"/>
  </r>
  <r>
    <s v="O0003"/>
    <x v="2"/>
    <x v="1"/>
    <x v="2"/>
    <x v="1"/>
    <n v="4"/>
    <n v="1200"/>
    <x v="2"/>
    <x v="2"/>
  </r>
  <r>
    <s v="O0004"/>
    <x v="3"/>
    <x v="2"/>
    <x v="2"/>
    <x v="1"/>
    <n v="3"/>
    <n v="1200"/>
    <x v="3"/>
    <x v="1"/>
  </r>
  <r>
    <s v="O0005"/>
    <x v="4"/>
    <x v="2"/>
    <x v="2"/>
    <x v="1"/>
    <n v="5"/>
    <n v="1200"/>
    <x v="4"/>
    <x v="1"/>
  </r>
  <r>
    <s v="O0006"/>
    <x v="5"/>
    <x v="1"/>
    <x v="3"/>
    <x v="0"/>
    <n v="5"/>
    <n v="1800"/>
    <x v="5"/>
    <x v="0"/>
  </r>
  <r>
    <s v="O0007"/>
    <x v="6"/>
    <x v="3"/>
    <x v="4"/>
    <x v="2"/>
    <n v="5"/>
    <n v="40"/>
    <x v="6"/>
    <x v="0"/>
  </r>
  <r>
    <s v="O0008"/>
    <x v="7"/>
    <x v="3"/>
    <x v="5"/>
    <x v="1"/>
    <n v="2"/>
    <n v="2500"/>
    <x v="7"/>
    <x v="2"/>
  </r>
  <r>
    <s v="O0009"/>
    <x v="8"/>
    <x v="2"/>
    <x v="6"/>
    <x v="3"/>
    <n v="2"/>
    <n v="60"/>
    <x v="8"/>
    <x v="0"/>
  </r>
  <r>
    <s v="O0010"/>
    <x v="9"/>
    <x v="2"/>
    <x v="5"/>
    <x v="1"/>
    <n v="5"/>
    <n v="2500"/>
    <x v="9"/>
    <x v="2"/>
  </r>
  <r>
    <s v="O0011"/>
    <x v="10"/>
    <x v="3"/>
    <x v="0"/>
    <x v="0"/>
    <n v="3"/>
    <n v="3500"/>
    <x v="0"/>
    <x v="2"/>
  </r>
  <r>
    <s v="O0012"/>
    <x v="11"/>
    <x v="0"/>
    <x v="6"/>
    <x v="3"/>
    <n v="4"/>
    <n v="60"/>
    <x v="10"/>
    <x v="0"/>
  </r>
  <r>
    <s v="O0013"/>
    <x v="12"/>
    <x v="1"/>
    <x v="7"/>
    <x v="3"/>
    <n v="4"/>
    <n v="180"/>
    <x v="11"/>
    <x v="0"/>
  </r>
  <r>
    <s v="O0014"/>
    <x v="11"/>
    <x v="3"/>
    <x v="1"/>
    <x v="0"/>
    <n v="2"/>
    <n v="1200"/>
    <x v="12"/>
    <x v="0"/>
  </r>
  <r>
    <s v="O0015"/>
    <x v="13"/>
    <x v="0"/>
    <x v="5"/>
    <x v="1"/>
    <n v="1"/>
    <n v="2500"/>
    <x v="13"/>
    <x v="2"/>
  </r>
  <r>
    <s v="O0016"/>
    <x v="0"/>
    <x v="3"/>
    <x v="6"/>
    <x v="3"/>
    <n v="3"/>
    <n v="60"/>
    <x v="14"/>
    <x v="1"/>
  </r>
  <r>
    <s v="O0017"/>
    <x v="14"/>
    <x v="0"/>
    <x v="2"/>
    <x v="1"/>
    <n v="2"/>
    <n v="1200"/>
    <x v="12"/>
    <x v="2"/>
  </r>
  <r>
    <s v="O0018"/>
    <x v="15"/>
    <x v="0"/>
    <x v="7"/>
    <x v="3"/>
    <n v="1"/>
    <n v="180"/>
    <x v="14"/>
    <x v="0"/>
  </r>
  <r>
    <s v="O0019"/>
    <x v="16"/>
    <x v="3"/>
    <x v="4"/>
    <x v="2"/>
    <n v="2"/>
    <n v="40"/>
    <x v="15"/>
    <x v="0"/>
  </r>
  <r>
    <s v="O0020"/>
    <x v="17"/>
    <x v="1"/>
    <x v="0"/>
    <x v="0"/>
    <n v="1"/>
    <n v="3500"/>
    <x v="16"/>
    <x v="2"/>
  </r>
  <r>
    <s v="O0021"/>
    <x v="18"/>
    <x v="1"/>
    <x v="4"/>
    <x v="2"/>
    <n v="1"/>
    <n v="40"/>
    <x v="17"/>
    <x v="2"/>
  </r>
  <r>
    <s v="O0022"/>
    <x v="19"/>
    <x v="1"/>
    <x v="6"/>
    <x v="3"/>
    <n v="5"/>
    <n v="60"/>
    <x v="18"/>
    <x v="2"/>
  </r>
  <r>
    <s v="O0023"/>
    <x v="20"/>
    <x v="1"/>
    <x v="7"/>
    <x v="3"/>
    <n v="5"/>
    <n v="180"/>
    <x v="19"/>
    <x v="0"/>
  </r>
  <r>
    <s v="O0024"/>
    <x v="21"/>
    <x v="2"/>
    <x v="7"/>
    <x v="3"/>
    <n v="3"/>
    <n v="180"/>
    <x v="20"/>
    <x v="0"/>
  </r>
  <r>
    <s v="O0025"/>
    <x v="3"/>
    <x v="0"/>
    <x v="3"/>
    <x v="0"/>
    <n v="1"/>
    <n v="1800"/>
    <x v="21"/>
    <x v="2"/>
  </r>
  <r>
    <s v="O0026"/>
    <x v="5"/>
    <x v="0"/>
    <x v="5"/>
    <x v="1"/>
    <n v="2"/>
    <n v="2500"/>
    <x v="7"/>
    <x v="0"/>
  </r>
  <r>
    <s v="O0027"/>
    <x v="22"/>
    <x v="2"/>
    <x v="6"/>
    <x v="3"/>
    <n v="3"/>
    <n v="60"/>
    <x v="14"/>
    <x v="2"/>
  </r>
  <r>
    <s v="O0028"/>
    <x v="23"/>
    <x v="0"/>
    <x v="5"/>
    <x v="1"/>
    <n v="2"/>
    <n v="2500"/>
    <x v="7"/>
    <x v="2"/>
  </r>
  <r>
    <s v="O0029"/>
    <x v="15"/>
    <x v="2"/>
    <x v="3"/>
    <x v="0"/>
    <n v="3"/>
    <n v="1800"/>
    <x v="22"/>
    <x v="2"/>
  </r>
  <r>
    <s v="O0030"/>
    <x v="18"/>
    <x v="2"/>
    <x v="2"/>
    <x v="1"/>
    <n v="1"/>
    <n v="1200"/>
    <x v="1"/>
    <x v="1"/>
  </r>
  <r>
    <s v="O0031"/>
    <x v="24"/>
    <x v="1"/>
    <x v="6"/>
    <x v="3"/>
    <n v="3"/>
    <n v="60"/>
    <x v="14"/>
    <x v="0"/>
  </r>
  <r>
    <s v="O0032"/>
    <x v="14"/>
    <x v="2"/>
    <x v="4"/>
    <x v="2"/>
    <n v="4"/>
    <n v="40"/>
    <x v="23"/>
    <x v="0"/>
  </r>
  <r>
    <s v="O0033"/>
    <x v="1"/>
    <x v="2"/>
    <x v="0"/>
    <x v="0"/>
    <n v="5"/>
    <n v="3500"/>
    <x v="24"/>
    <x v="0"/>
  </r>
  <r>
    <s v="O0034"/>
    <x v="9"/>
    <x v="3"/>
    <x v="6"/>
    <x v="3"/>
    <n v="5"/>
    <n v="60"/>
    <x v="18"/>
    <x v="1"/>
  </r>
  <r>
    <s v="O0035"/>
    <x v="25"/>
    <x v="1"/>
    <x v="2"/>
    <x v="1"/>
    <n v="1"/>
    <n v="1200"/>
    <x v="1"/>
    <x v="0"/>
  </r>
  <r>
    <s v="O0036"/>
    <x v="11"/>
    <x v="1"/>
    <x v="2"/>
    <x v="1"/>
    <n v="2"/>
    <n v="1200"/>
    <x v="12"/>
    <x v="1"/>
  </r>
  <r>
    <s v="O0037"/>
    <x v="26"/>
    <x v="3"/>
    <x v="0"/>
    <x v="0"/>
    <n v="3"/>
    <n v="3500"/>
    <x v="0"/>
    <x v="1"/>
  </r>
  <r>
    <s v="O0038"/>
    <x v="14"/>
    <x v="1"/>
    <x v="3"/>
    <x v="0"/>
    <n v="1"/>
    <n v="1800"/>
    <x v="21"/>
    <x v="0"/>
  </r>
  <r>
    <s v="O0039"/>
    <x v="27"/>
    <x v="3"/>
    <x v="2"/>
    <x v="1"/>
    <n v="4"/>
    <n v="1200"/>
    <x v="2"/>
    <x v="2"/>
  </r>
  <r>
    <s v="O0040"/>
    <x v="24"/>
    <x v="2"/>
    <x v="3"/>
    <x v="0"/>
    <n v="5"/>
    <n v="1800"/>
    <x v="5"/>
    <x v="1"/>
  </r>
  <r>
    <s v="O0041"/>
    <x v="28"/>
    <x v="2"/>
    <x v="1"/>
    <x v="0"/>
    <n v="3"/>
    <n v="1200"/>
    <x v="3"/>
    <x v="0"/>
  </r>
  <r>
    <s v="O0042"/>
    <x v="29"/>
    <x v="2"/>
    <x v="0"/>
    <x v="0"/>
    <n v="1"/>
    <n v="3500"/>
    <x v="16"/>
    <x v="1"/>
  </r>
  <r>
    <s v="O0043"/>
    <x v="5"/>
    <x v="0"/>
    <x v="1"/>
    <x v="0"/>
    <n v="3"/>
    <n v="1200"/>
    <x v="3"/>
    <x v="0"/>
  </r>
  <r>
    <s v="O0044"/>
    <x v="30"/>
    <x v="3"/>
    <x v="0"/>
    <x v="0"/>
    <n v="3"/>
    <n v="3500"/>
    <x v="0"/>
    <x v="2"/>
  </r>
  <r>
    <s v="O0045"/>
    <x v="31"/>
    <x v="2"/>
    <x v="7"/>
    <x v="3"/>
    <n v="3"/>
    <n v="180"/>
    <x v="20"/>
    <x v="2"/>
  </r>
  <r>
    <s v="O0046"/>
    <x v="32"/>
    <x v="1"/>
    <x v="3"/>
    <x v="0"/>
    <n v="5"/>
    <n v="1800"/>
    <x v="5"/>
    <x v="1"/>
  </r>
  <r>
    <s v="O0047"/>
    <x v="33"/>
    <x v="1"/>
    <x v="0"/>
    <x v="0"/>
    <n v="1"/>
    <n v="3500"/>
    <x v="16"/>
    <x v="0"/>
  </r>
  <r>
    <s v="O0048"/>
    <x v="34"/>
    <x v="0"/>
    <x v="1"/>
    <x v="0"/>
    <n v="1"/>
    <n v="1200"/>
    <x v="1"/>
    <x v="2"/>
  </r>
  <r>
    <s v="O0049"/>
    <x v="35"/>
    <x v="2"/>
    <x v="0"/>
    <x v="0"/>
    <n v="5"/>
    <n v="3500"/>
    <x v="24"/>
    <x v="1"/>
  </r>
  <r>
    <s v="O0050"/>
    <x v="36"/>
    <x v="3"/>
    <x v="1"/>
    <x v="0"/>
    <n v="4"/>
    <n v="1200"/>
    <x v="2"/>
    <x v="1"/>
  </r>
  <r>
    <s v="O0051"/>
    <x v="37"/>
    <x v="2"/>
    <x v="6"/>
    <x v="3"/>
    <n v="4"/>
    <n v="60"/>
    <x v="10"/>
    <x v="0"/>
  </r>
  <r>
    <s v="O0052"/>
    <x v="38"/>
    <x v="3"/>
    <x v="7"/>
    <x v="3"/>
    <n v="3"/>
    <n v="180"/>
    <x v="20"/>
    <x v="2"/>
  </r>
  <r>
    <s v="O0053"/>
    <x v="39"/>
    <x v="1"/>
    <x v="6"/>
    <x v="3"/>
    <n v="1"/>
    <n v="60"/>
    <x v="25"/>
    <x v="1"/>
  </r>
  <r>
    <s v="O0054"/>
    <x v="2"/>
    <x v="0"/>
    <x v="3"/>
    <x v="0"/>
    <n v="2"/>
    <n v="1800"/>
    <x v="3"/>
    <x v="0"/>
  </r>
  <r>
    <s v="O0055"/>
    <x v="6"/>
    <x v="0"/>
    <x v="4"/>
    <x v="2"/>
    <n v="3"/>
    <n v="40"/>
    <x v="8"/>
    <x v="0"/>
  </r>
  <r>
    <s v="O0056"/>
    <x v="0"/>
    <x v="3"/>
    <x v="1"/>
    <x v="0"/>
    <n v="4"/>
    <n v="1200"/>
    <x v="2"/>
    <x v="2"/>
  </r>
  <r>
    <s v="O0057"/>
    <x v="22"/>
    <x v="1"/>
    <x v="2"/>
    <x v="1"/>
    <n v="1"/>
    <n v="1200"/>
    <x v="1"/>
    <x v="2"/>
  </r>
  <r>
    <s v="O0058"/>
    <x v="15"/>
    <x v="1"/>
    <x v="5"/>
    <x v="1"/>
    <n v="3"/>
    <n v="2500"/>
    <x v="26"/>
    <x v="1"/>
  </r>
  <r>
    <s v="O0059"/>
    <x v="40"/>
    <x v="2"/>
    <x v="3"/>
    <x v="0"/>
    <n v="1"/>
    <n v="1800"/>
    <x v="21"/>
    <x v="2"/>
  </r>
  <r>
    <s v="O0060"/>
    <x v="41"/>
    <x v="1"/>
    <x v="4"/>
    <x v="2"/>
    <n v="4"/>
    <n v="40"/>
    <x v="23"/>
    <x v="2"/>
  </r>
  <r>
    <s v="O0061"/>
    <x v="41"/>
    <x v="1"/>
    <x v="5"/>
    <x v="1"/>
    <n v="4"/>
    <n v="2500"/>
    <x v="27"/>
    <x v="1"/>
  </r>
  <r>
    <s v="O0062"/>
    <x v="0"/>
    <x v="0"/>
    <x v="0"/>
    <x v="0"/>
    <n v="4"/>
    <n v="3500"/>
    <x v="28"/>
    <x v="2"/>
  </r>
  <r>
    <s v="O0063"/>
    <x v="1"/>
    <x v="2"/>
    <x v="6"/>
    <x v="3"/>
    <n v="1"/>
    <n v="60"/>
    <x v="25"/>
    <x v="0"/>
  </r>
  <r>
    <s v="O0064"/>
    <x v="42"/>
    <x v="2"/>
    <x v="6"/>
    <x v="3"/>
    <n v="2"/>
    <n v="60"/>
    <x v="8"/>
    <x v="1"/>
  </r>
  <r>
    <s v="O0065"/>
    <x v="22"/>
    <x v="2"/>
    <x v="2"/>
    <x v="1"/>
    <n v="1"/>
    <n v="1200"/>
    <x v="1"/>
    <x v="0"/>
  </r>
  <r>
    <s v="O0066"/>
    <x v="43"/>
    <x v="0"/>
    <x v="7"/>
    <x v="3"/>
    <n v="4"/>
    <n v="180"/>
    <x v="11"/>
    <x v="0"/>
  </r>
  <r>
    <s v="O0067"/>
    <x v="42"/>
    <x v="3"/>
    <x v="4"/>
    <x v="2"/>
    <n v="2"/>
    <n v="40"/>
    <x v="15"/>
    <x v="1"/>
  </r>
  <r>
    <s v="O0068"/>
    <x v="5"/>
    <x v="3"/>
    <x v="7"/>
    <x v="3"/>
    <n v="2"/>
    <n v="180"/>
    <x v="29"/>
    <x v="0"/>
  </r>
  <r>
    <s v="O0069"/>
    <x v="35"/>
    <x v="0"/>
    <x v="0"/>
    <x v="0"/>
    <n v="4"/>
    <n v="3500"/>
    <x v="28"/>
    <x v="0"/>
  </r>
  <r>
    <s v="O0070"/>
    <x v="25"/>
    <x v="3"/>
    <x v="7"/>
    <x v="3"/>
    <n v="1"/>
    <n v="180"/>
    <x v="14"/>
    <x v="1"/>
  </r>
  <r>
    <s v="O0071"/>
    <x v="44"/>
    <x v="0"/>
    <x v="6"/>
    <x v="3"/>
    <n v="5"/>
    <n v="60"/>
    <x v="18"/>
    <x v="1"/>
  </r>
  <r>
    <s v="O0072"/>
    <x v="22"/>
    <x v="1"/>
    <x v="2"/>
    <x v="1"/>
    <n v="4"/>
    <n v="1200"/>
    <x v="2"/>
    <x v="2"/>
  </r>
  <r>
    <s v="O0073"/>
    <x v="44"/>
    <x v="0"/>
    <x v="6"/>
    <x v="3"/>
    <n v="3"/>
    <n v="60"/>
    <x v="14"/>
    <x v="2"/>
  </r>
  <r>
    <s v="O0074"/>
    <x v="34"/>
    <x v="3"/>
    <x v="6"/>
    <x v="3"/>
    <n v="1"/>
    <n v="60"/>
    <x v="25"/>
    <x v="2"/>
  </r>
  <r>
    <s v="O0075"/>
    <x v="23"/>
    <x v="0"/>
    <x v="6"/>
    <x v="3"/>
    <n v="4"/>
    <n v="60"/>
    <x v="10"/>
    <x v="1"/>
  </r>
  <r>
    <s v="O0076"/>
    <x v="33"/>
    <x v="3"/>
    <x v="0"/>
    <x v="0"/>
    <n v="1"/>
    <n v="3500"/>
    <x v="16"/>
    <x v="0"/>
  </r>
  <r>
    <s v="O0077"/>
    <x v="43"/>
    <x v="1"/>
    <x v="7"/>
    <x v="3"/>
    <n v="5"/>
    <n v="180"/>
    <x v="19"/>
    <x v="0"/>
  </r>
  <r>
    <s v="O0078"/>
    <x v="19"/>
    <x v="1"/>
    <x v="2"/>
    <x v="1"/>
    <n v="3"/>
    <n v="1200"/>
    <x v="3"/>
    <x v="2"/>
  </r>
  <r>
    <s v="O0079"/>
    <x v="37"/>
    <x v="0"/>
    <x v="5"/>
    <x v="1"/>
    <n v="5"/>
    <n v="2500"/>
    <x v="9"/>
    <x v="2"/>
  </r>
  <r>
    <s v="O0080"/>
    <x v="5"/>
    <x v="0"/>
    <x v="7"/>
    <x v="3"/>
    <n v="1"/>
    <n v="180"/>
    <x v="14"/>
    <x v="1"/>
  </r>
  <r>
    <s v="O0081"/>
    <x v="45"/>
    <x v="3"/>
    <x v="7"/>
    <x v="3"/>
    <n v="1"/>
    <n v="180"/>
    <x v="14"/>
    <x v="2"/>
  </r>
  <r>
    <s v="O0082"/>
    <x v="46"/>
    <x v="3"/>
    <x v="7"/>
    <x v="3"/>
    <n v="2"/>
    <n v="180"/>
    <x v="29"/>
    <x v="1"/>
  </r>
  <r>
    <s v="O0083"/>
    <x v="47"/>
    <x v="2"/>
    <x v="0"/>
    <x v="0"/>
    <n v="2"/>
    <n v="3500"/>
    <x v="30"/>
    <x v="1"/>
  </r>
  <r>
    <s v="O0084"/>
    <x v="48"/>
    <x v="2"/>
    <x v="5"/>
    <x v="1"/>
    <n v="2"/>
    <n v="2500"/>
    <x v="7"/>
    <x v="2"/>
  </r>
  <r>
    <s v="O0085"/>
    <x v="16"/>
    <x v="2"/>
    <x v="7"/>
    <x v="3"/>
    <n v="5"/>
    <n v="180"/>
    <x v="19"/>
    <x v="1"/>
  </r>
  <r>
    <s v="O0086"/>
    <x v="37"/>
    <x v="0"/>
    <x v="3"/>
    <x v="0"/>
    <n v="4"/>
    <n v="1800"/>
    <x v="31"/>
    <x v="2"/>
  </r>
  <r>
    <s v="O0087"/>
    <x v="43"/>
    <x v="2"/>
    <x v="7"/>
    <x v="3"/>
    <n v="2"/>
    <n v="180"/>
    <x v="29"/>
    <x v="2"/>
  </r>
  <r>
    <s v="O0088"/>
    <x v="49"/>
    <x v="2"/>
    <x v="1"/>
    <x v="0"/>
    <n v="5"/>
    <n v="1200"/>
    <x v="4"/>
    <x v="1"/>
  </r>
  <r>
    <s v="O0089"/>
    <x v="50"/>
    <x v="1"/>
    <x v="4"/>
    <x v="2"/>
    <n v="3"/>
    <n v="40"/>
    <x v="8"/>
    <x v="1"/>
  </r>
  <r>
    <s v="O0090"/>
    <x v="12"/>
    <x v="3"/>
    <x v="7"/>
    <x v="3"/>
    <n v="3"/>
    <n v="180"/>
    <x v="20"/>
    <x v="2"/>
  </r>
  <r>
    <s v="O0091"/>
    <x v="48"/>
    <x v="1"/>
    <x v="7"/>
    <x v="3"/>
    <n v="3"/>
    <n v="180"/>
    <x v="20"/>
    <x v="0"/>
  </r>
  <r>
    <s v="O0092"/>
    <x v="51"/>
    <x v="0"/>
    <x v="4"/>
    <x v="2"/>
    <n v="4"/>
    <n v="40"/>
    <x v="23"/>
    <x v="2"/>
  </r>
  <r>
    <s v="O0093"/>
    <x v="52"/>
    <x v="1"/>
    <x v="0"/>
    <x v="0"/>
    <n v="2"/>
    <n v="3500"/>
    <x v="30"/>
    <x v="2"/>
  </r>
  <r>
    <s v="O0094"/>
    <x v="9"/>
    <x v="0"/>
    <x v="2"/>
    <x v="1"/>
    <n v="2"/>
    <n v="1200"/>
    <x v="12"/>
    <x v="2"/>
  </r>
  <r>
    <s v="O0095"/>
    <x v="9"/>
    <x v="0"/>
    <x v="1"/>
    <x v="0"/>
    <n v="3"/>
    <n v="1200"/>
    <x v="3"/>
    <x v="0"/>
  </r>
  <r>
    <s v="O0096"/>
    <x v="53"/>
    <x v="3"/>
    <x v="5"/>
    <x v="1"/>
    <n v="3"/>
    <n v="2500"/>
    <x v="26"/>
    <x v="0"/>
  </r>
  <r>
    <s v="O0097"/>
    <x v="12"/>
    <x v="0"/>
    <x v="1"/>
    <x v="0"/>
    <n v="3"/>
    <n v="1200"/>
    <x v="3"/>
    <x v="2"/>
  </r>
  <r>
    <s v="O0098"/>
    <x v="54"/>
    <x v="1"/>
    <x v="7"/>
    <x v="3"/>
    <n v="5"/>
    <n v="180"/>
    <x v="19"/>
    <x v="0"/>
  </r>
  <r>
    <s v="O0099"/>
    <x v="55"/>
    <x v="2"/>
    <x v="2"/>
    <x v="1"/>
    <n v="1"/>
    <n v="1200"/>
    <x v="1"/>
    <x v="0"/>
  </r>
  <r>
    <s v="O0100"/>
    <x v="33"/>
    <x v="2"/>
    <x v="1"/>
    <x v="0"/>
    <n v="2"/>
    <n v="1200"/>
    <x v="12"/>
    <x v="1"/>
  </r>
  <r>
    <s v="O0101"/>
    <x v="56"/>
    <x v="0"/>
    <x v="3"/>
    <x v="0"/>
    <n v="2"/>
    <n v="1800"/>
    <x v="3"/>
    <x v="0"/>
  </r>
  <r>
    <s v="O0102"/>
    <x v="57"/>
    <x v="3"/>
    <x v="5"/>
    <x v="1"/>
    <n v="3"/>
    <n v="2500"/>
    <x v="26"/>
    <x v="0"/>
  </r>
  <r>
    <s v="O0103"/>
    <x v="57"/>
    <x v="2"/>
    <x v="6"/>
    <x v="3"/>
    <n v="4"/>
    <n v="60"/>
    <x v="10"/>
    <x v="0"/>
  </r>
  <r>
    <s v="O0104"/>
    <x v="30"/>
    <x v="2"/>
    <x v="0"/>
    <x v="0"/>
    <n v="4"/>
    <n v="3500"/>
    <x v="28"/>
    <x v="2"/>
  </r>
  <r>
    <s v="O0105"/>
    <x v="58"/>
    <x v="3"/>
    <x v="1"/>
    <x v="0"/>
    <n v="5"/>
    <n v="1200"/>
    <x v="4"/>
    <x v="1"/>
  </r>
  <r>
    <s v="O0106"/>
    <x v="3"/>
    <x v="1"/>
    <x v="7"/>
    <x v="3"/>
    <n v="2"/>
    <n v="180"/>
    <x v="29"/>
    <x v="2"/>
  </r>
  <r>
    <s v="O0107"/>
    <x v="29"/>
    <x v="0"/>
    <x v="6"/>
    <x v="3"/>
    <n v="4"/>
    <n v="60"/>
    <x v="10"/>
    <x v="0"/>
  </r>
  <r>
    <s v="O0108"/>
    <x v="59"/>
    <x v="3"/>
    <x v="7"/>
    <x v="3"/>
    <n v="4"/>
    <n v="180"/>
    <x v="11"/>
    <x v="1"/>
  </r>
  <r>
    <s v="O0109"/>
    <x v="60"/>
    <x v="2"/>
    <x v="3"/>
    <x v="0"/>
    <n v="2"/>
    <n v="1800"/>
    <x v="3"/>
    <x v="2"/>
  </r>
  <r>
    <s v="O0110"/>
    <x v="23"/>
    <x v="0"/>
    <x v="4"/>
    <x v="2"/>
    <n v="2"/>
    <n v="40"/>
    <x v="15"/>
    <x v="2"/>
  </r>
  <r>
    <s v="O0111"/>
    <x v="61"/>
    <x v="0"/>
    <x v="3"/>
    <x v="0"/>
    <n v="4"/>
    <n v="1800"/>
    <x v="31"/>
    <x v="1"/>
  </r>
  <r>
    <s v="O0112"/>
    <x v="62"/>
    <x v="0"/>
    <x v="5"/>
    <x v="1"/>
    <n v="2"/>
    <n v="2500"/>
    <x v="7"/>
    <x v="0"/>
  </r>
  <r>
    <s v="O0113"/>
    <x v="63"/>
    <x v="3"/>
    <x v="6"/>
    <x v="3"/>
    <n v="3"/>
    <n v="60"/>
    <x v="14"/>
    <x v="2"/>
  </r>
  <r>
    <s v="O0114"/>
    <x v="64"/>
    <x v="0"/>
    <x v="0"/>
    <x v="0"/>
    <n v="4"/>
    <n v="3500"/>
    <x v="28"/>
    <x v="0"/>
  </r>
  <r>
    <s v="O0115"/>
    <x v="16"/>
    <x v="0"/>
    <x v="5"/>
    <x v="1"/>
    <n v="2"/>
    <n v="2500"/>
    <x v="7"/>
    <x v="2"/>
  </r>
  <r>
    <s v="O0116"/>
    <x v="19"/>
    <x v="3"/>
    <x v="2"/>
    <x v="1"/>
    <n v="1"/>
    <n v="1200"/>
    <x v="1"/>
    <x v="1"/>
  </r>
  <r>
    <s v="O0117"/>
    <x v="2"/>
    <x v="0"/>
    <x v="1"/>
    <x v="0"/>
    <n v="5"/>
    <n v="1200"/>
    <x v="4"/>
    <x v="1"/>
  </r>
  <r>
    <s v="O0118"/>
    <x v="13"/>
    <x v="3"/>
    <x v="6"/>
    <x v="3"/>
    <n v="4"/>
    <n v="60"/>
    <x v="10"/>
    <x v="1"/>
  </r>
  <r>
    <s v="O0119"/>
    <x v="0"/>
    <x v="3"/>
    <x v="4"/>
    <x v="2"/>
    <n v="5"/>
    <n v="40"/>
    <x v="6"/>
    <x v="0"/>
  </r>
  <r>
    <s v="O0120"/>
    <x v="46"/>
    <x v="1"/>
    <x v="4"/>
    <x v="2"/>
    <n v="2"/>
    <n v="40"/>
    <x v="15"/>
    <x v="1"/>
  </r>
  <r>
    <s v="O0121"/>
    <x v="9"/>
    <x v="0"/>
    <x v="4"/>
    <x v="2"/>
    <n v="4"/>
    <n v="40"/>
    <x v="23"/>
    <x v="2"/>
  </r>
  <r>
    <s v="O0122"/>
    <x v="15"/>
    <x v="2"/>
    <x v="3"/>
    <x v="0"/>
    <n v="1"/>
    <n v="1800"/>
    <x v="21"/>
    <x v="0"/>
  </r>
  <r>
    <s v="O0123"/>
    <x v="10"/>
    <x v="2"/>
    <x v="5"/>
    <x v="1"/>
    <n v="4"/>
    <n v="2500"/>
    <x v="27"/>
    <x v="2"/>
  </r>
  <r>
    <s v="O0124"/>
    <x v="65"/>
    <x v="3"/>
    <x v="7"/>
    <x v="3"/>
    <n v="1"/>
    <n v="180"/>
    <x v="14"/>
    <x v="1"/>
  </r>
  <r>
    <s v="O0125"/>
    <x v="62"/>
    <x v="1"/>
    <x v="3"/>
    <x v="0"/>
    <n v="3"/>
    <n v="1800"/>
    <x v="22"/>
    <x v="1"/>
  </r>
  <r>
    <s v="O0126"/>
    <x v="42"/>
    <x v="0"/>
    <x v="5"/>
    <x v="1"/>
    <n v="4"/>
    <n v="2500"/>
    <x v="27"/>
    <x v="1"/>
  </r>
  <r>
    <s v="O0127"/>
    <x v="38"/>
    <x v="1"/>
    <x v="0"/>
    <x v="0"/>
    <n v="3"/>
    <n v="3500"/>
    <x v="0"/>
    <x v="1"/>
  </r>
  <r>
    <s v="O0128"/>
    <x v="6"/>
    <x v="1"/>
    <x v="4"/>
    <x v="2"/>
    <n v="3"/>
    <n v="40"/>
    <x v="8"/>
    <x v="0"/>
  </r>
  <r>
    <s v="O0129"/>
    <x v="45"/>
    <x v="0"/>
    <x v="6"/>
    <x v="3"/>
    <n v="5"/>
    <n v="60"/>
    <x v="18"/>
    <x v="0"/>
  </r>
  <r>
    <s v="O0130"/>
    <x v="25"/>
    <x v="0"/>
    <x v="1"/>
    <x v="0"/>
    <n v="3"/>
    <n v="1200"/>
    <x v="3"/>
    <x v="2"/>
  </r>
  <r>
    <s v="O0131"/>
    <x v="1"/>
    <x v="1"/>
    <x v="4"/>
    <x v="2"/>
    <n v="5"/>
    <n v="40"/>
    <x v="6"/>
    <x v="2"/>
  </r>
  <r>
    <s v="O0132"/>
    <x v="40"/>
    <x v="3"/>
    <x v="2"/>
    <x v="1"/>
    <n v="4"/>
    <n v="1200"/>
    <x v="2"/>
    <x v="2"/>
  </r>
  <r>
    <s v="O0133"/>
    <x v="29"/>
    <x v="2"/>
    <x v="7"/>
    <x v="3"/>
    <n v="3"/>
    <n v="180"/>
    <x v="20"/>
    <x v="0"/>
  </r>
  <r>
    <s v="O0134"/>
    <x v="18"/>
    <x v="0"/>
    <x v="6"/>
    <x v="3"/>
    <n v="3"/>
    <n v="60"/>
    <x v="14"/>
    <x v="2"/>
  </r>
  <r>
    <s v="O0135"/>
    <x v="30"/>
    <x v="1"/>
    <x v="2"/>
    <x v="1"/>
    <n v="1"/>
    <n v="1200"/>
    <x v="1"/>
    <x v="2"/>
  </r>
  <r>
    <s v="O0136"/>
    <x v="59"/>
    <x v="2"/>
    <x v="7"/>
    <x v="3"/>
    <n v="5"/>
    <n v="180"/>
    <x v="19"/>
    <x v="2"/>
  </r>
  <r>
    <s v="O0137"/>
    <x v="45"/>
    <x v="0"/>
    <x v="5"/>
    <x v="1"/>
    <n v="5"/>
    <n v="2500"/>
    <x v="9"/>
    <x v="1"/>
  </r>
  <r>
    <s v="O0138"/>
    <x v="2"/>
    <x v="3"/>
    <x v="3"/>
    <x v="0"/>
    <n v="5"/>
    <n v="1800"/>
    <x v="5"/>
    <x v="2"/>
  </r>
  <r>
    <s v="O0139"/>
    <x v="66"/>
    <x v="1"/>
    <x v="5"/>
    <x v="1"/>
    <n v="3"/>
    <n v="2500"/>
    <x v="26"/>
    <x v="2"/>
  </r>
  <r>
    <s v="O0140"/>
    <x v="67"/>
    <x v="1"/>
    <x v="3"/>
    <x v="0"/>
    <n v="2"/>
    <n v="1800"/>
    <x v="3"/>
    <x v="1"/>
  </r>
  <r>
    <s v="O0141"/>
    <x v="39"/>
    <x v="3"/>
    <x v="0"/>
    <x v="0"/>
    <n v="4"/>
    <n v="3500"/>
    <x v="28"/>
    <x v="0"/>
  </r>
  <r>
    <s v="O0142"/>
    <x v="62"/>
    <x v="2"/>
    <x v="1"/>
    <x v="0"/>
    <n v="4"/>
    <n v="1200"/>
    <x v="2"/>
    <x v="2"/>
  </r>
  <r>
    <s v="O0143"/>
    <x v="48"/>
    <x v="2"/>
    <x v="7"/>
    <x v="3"/>
    <n v="2"/>
    <n v="180"/>
    <x v="29"/>
    <x v="2"/>
  </r>
  <r>
    <s v="O0144"/>
    <x v="68"/>
    <x v="1"/>
    <x v="7"/>
    <x v="3"/>
    <n v="4"/>
    <n v="180"/>
    <x v="11"/>
    <x v="1"/>
  </r>
  <r>
    <s v="O0145"/>
    <x v="18"/>
    <x v="3"/>
    <x v="7"/>
    <x v="3"/>
    <n v="4"/>
    <n v="180"/>
    <x v="11"/>
    <x v="1"/>
  </r>
  <r>
    <s v="O0146"/>
    <x v="6"/>
    <x v="2"/>
    <x v="5"/>
    <x v="1"/>
    <n v="2"/>
    <n v="2500"/>
    <x v="7"/>
    <x v="2"/>
  </r>
  <r>
    <s v="O0147"/>
    <x v="12"/>
    <x v="3"/>
    <x v="6"/>
    <x v="3"/>
    <n v="1"/>
    <n v="60"/>
    <x v="25"/>
    <x v="2"/>
  </r>
  <r>
    <s v="O0148"/>
    <x v="66"/>
    <x v="0"/>
    <x v="5"/>
    <x v="1"/>
    <n v="4"/>
    <n v="2500"/>
    <x v="27"/>
    <x v="2"/>
  </r>
  <r>
    <s v="O0149"/>
    <x v="38"/>
    <x v="0"/>
    <x v="7"/>
    <x v="3"/>
    <n v="3"/>
    <n v="180"/>
    <x v="20"/>
    <x v="2"/>
  </r>
  <r>
    <s v="O0150"/>
    <x v="12"/>
    <x v="2"/>
    <x v="7"/>
    <x v="3"/>
    <n v="3"/>
    <n v="180"/>
    <x v="20"/>
    <x v="0"/>
  </r>
  <r>
    <s v="O0151"/>
    <x v="8"/>
    <x v="1"/>
    <x v="1"/>
    <x v="0"/>
    <n v="1"/>
    <n v="1200"/>
    <x v="1"/>
    <x v="2"/>
  </r>
  <r>
    <s v="O0152"/>
    <x v="48"/>
    <x v="2"/>
    <x v="7"/>
    <x v="3"/>
    <n v="2"/>
    <n v="180"/>
    <x v="29"/>
    <x v="0"/>
  </r>
  <r>
    <s v="O0153"/>
    <x v="1"/>
    <x v="1"/>
    <x v="7"/>
    <x v="3"/>
    <n v="5"/>
    <n v="180"/>
    <x v="19"/>
    <x v="0"/>
  </r>
  <r>
    <s v="O0154"/>
    <x v="69"/>
    <x v="1"/>
    <x v="3"/>
    <x v="0"/>
    <n v="2"/>
    <n v="1800"/>
    <x v="3"/>
    <x v="1"/>
  </r>
  <r>
    <s v="O0155"/>
    <x v="64"/>
    <x v="0"/>
    <x v="4"/>
    <x v="2"/>
    <n v="1"/>
    <n v="40"/>
    <x v="17"/>
    <x v="2"/>
  </r>
  <r>
    <s v="O0156"/>
    <x v="54"/>
    <x v="2"/>
    <x v="7"/>
    <x v="3"/>
    <n v="5"/>
    <n v="180"/>
    <x v="19"/>
    <x v="0"/>
  </r>
  <r>
    <s v="O0157"/>
    <x v="21"/>
    <x v="0"/>
    <x v="0"/>
    <x v="0"/>
    <n v="3"/>
    <n v="3500"/>
    <x v="0"/>
    <x v="0"/>
  </r>
  <r>
    <s v="O0158"/>
    <x v="42"/>
    <x v="0"/>
    <x v="3"/>
    <x v="0"/>
    <n v="3"/>
    <n v="1800"/>
    <x v="22"/>
    <x v="1"/>
  </r>
  <r>
    <s v="O0159"/>
    <x v="70"/>
    <x v="0"/>
    <x v="7"/>
    <x v="3"/>
    <n v="4"/>
    <n v="180"/>
    <x v="11"/>
    <x v="1"/>
  </r>
  <r>
    <s v="O0160"/>
    <x v="71"/>
    <x v="0"/>
    <x v="3"/>
    <x v="0"/>
    <n v="1"/>
    <n v="1800"/>
    <x v="21"/>
    <x v="2"/>
  </r>
  <r>
    <s v="O0161"/>
    <x v="13"/>
    <x v="0"/>
    <x v="3"/>
    <x v="0"/>
    <n v="2"/>
    <n v="1800"/>
    <x v="3"/>
    <x v="2"/>
  </r>
  <r>
    <s v="O0162"/>
    <x v="72"/>
    <x v="1"/>
    <x v="7"/>
    <x v="3"/>
    <n v="2"/>
    <n v="180"/>
    <x v="29"/>
    <x v="0"/>
  </r>
  <r>
    <s v="O0163"/>
    <x v="42"/>
    <x v="0"/>
    <x v="4"/>
    <x v="2"/>
    <n v="3"/>
    <n v="40"/>
    <x v="8"/>
    <x v="0"/>
  </r>
  <r>
    <s v="O0164"/>
    <x v="4"/>
    <x v="0"/>
    <x v="5"/>
    <x v="1"/>
    <n v="1"/>
    <n v="2500"/>
    <x v="13"/>
    <x v="2"/>
  </r>
  <r>
    <s v="O0165"/>
    <x v="26"/>
    <x v="2"/>
    <x v="7"/>
    <x v="3"/>
    <n v="1"/>
    <n v="180"/>
    <x v="14"/>
    <x v="1"/>
  </r>
  <r>
    <s v="O0166"/>
    <x v="31"/>
    <x v="3"/>
    <x v="7"/>
    <x v="3"/>
    <n v="2"/>
    <n v="180"/>
    <x v="29"/>
    <x v="0"/>
  </r>
  <r>
    <s v="O0167"/>
    <x v="20"/>
    <x v="3"/>
    <x v="5"/>
    <x v="1"/>
    <n v="5"/>
    <n v="2500"/>
    <x v="9"/>
    <x v="1"/>
  </r>
  <r>
    <s v="O0168"/>
    <x v="3"/>
    <x v="0"/>
    <x v="4"/>
    <x v="2"/>
    <n v="2"/>
    <n v="40"/>
    <x v="15"/>
    <x v="0"/>
  </r>
  <r>
    <s v="O0169"/>
    <x v="34"/>
    <x v="3"/>
    <x v="2"/>
    <x v="1"/>
    <n v="5"/>
    <n v="1200"/>
    <x v="4"/>
    <x v="2"/>
  </r>
  <r>
    <s v="O0170"/>
    <x v="6"/>
    <x v="1"/>
    <x v="2"/>
    <x v="1"/>
    <n v="1"/>
    <n v="1200"/>
    <x v="1"/>
    <x v="0"/>
  </r>
  <r>
    <s v="O0171"/>
    <x v="66"/>
    <x v="2"/>
    <x v="6"/>
    <x v="3"/>
    <n v="5"/>
    <n v="60"/>
    <x v="18"/>
    <x v="0"/>
  </r>
  <r>
    <s v="O0172"/>
    <x v="27"/>
    <x v="0"/>
    <x v="1"/>
    <x v="0"/>
    <n v="4"/>
    <n v="1200"/>
    <x v="2"/>
    <x v="0"/>
  </r>
  <r>
    <s v="O0173"/>
    <x v="73"/>
    <x v="1"/>
    <x v="3"/>
    <x v="0"/>
    <n v="1"/>
    <n v="1800"/>
    <x v="21"/>
    <x v="1"/>
  </r>
  <r>
    <s v="O0174"/>
    <x v="74"/>
    <x v="3"/>
    <x v="7"/>
    <x v="3"/>
    <n v="5"/>
    <n v="180"/>
    <x v="19"/>
    <x v="2"/>
  </r>
  <r>
    <s v="O0175"/>
    <x v="24"/>
    <x v="3"/>
    <x v="3"/>
    <x v="0"/>
    <n v="3"/>
    <n v="1800"/>
    <x v="22"/>
    <x v="0"/>
  </r>
  <r>
    <s v="O0176"/>
    <x v="27"/>
    <x v="0"/>
    <x v="2"/>
    <x v="1"/>
    <n v="5"/>
    <n v="1200"/>
    <x v="4"/>
    <x v="0"/>
  </r>
  <r>
    <s v="O0177"/>
    <x v="10"/>
    <x v="3"/>
    <x v="1"/>
    <x v="0"/>
    <n v="1"/>
    <n v="1200"/>
    <x v="1"/>
    <x v="0"/>
  </r>
  <r>
    <s v="O0178"/>
    <x v="6"/>
    <x v="0"/>
    <x v="4"/>
    <x v="2"/>
    <n v="5"/>
    <n v="40"/>
    <x v="6"/>
    <x v="2"/>
  </r>
  <r>
    <s v="O0179"/>
    <x v="35"/>
    <x v="1"/>
    <x v="6"/>
    <x v="3"/>
    <n v="2"/>
    <n v="60"/>
    <x v="8"/>
    <x v="2"/>
  </r>
  <r>
    <s v="O0180"/>
    <x v="46"/>
    <x v="1"/>
    <x v="3"/>
    <x v="0"/>
    <n v="1"/>
    <n v="1800"/>
    <x v="21"/>
    <x v="1"/>
  </r>
  <r>
    <s v="O0181"/>
    <x v="75"/>
    <x v="2"/>
    <x v="1"/>
    <x v="0"/>
    <n v="5"/>
    <n v="1200"/>
    <x v="4"/>
    <x v="0"/>
  </r>
  <r>
    <s v="O0182"/>
    <x v="48"/>
    <x v="3"/>
    <x v="6"/>
    <x v="3"/>
    <n v="2"/>
    <n v="60"/>
    <x v="8"/>
    <x v="1"/>
  </r>
  <r>
    <s v="O0183"/>
    <x v="24"/>
    <x v="0"/>
    <x v="2"/>
    <x v="1"/>
    <n v="3"/>
    <n v="1200"/>
    <x v="3"/>
    <x v="2"/>
  </r>
  <r>
    <s v="O0184"/>
    <x v="76"/>
    <x v="0"/>
    <x v="5"/>
    <x v="1"/>
    <n v="1"/>
    <n v="2500"/>
    <x v="13"/>
    <x v="0"/>
  </r>
  <r>
    <s v="O0185"/>
    <x v="68"/>
    <x v="3"/>
    <x v="5"/>
    <x v="1"/>
    <n v="3"/>
    <n v="2500"/>
    <x v="26"/>
    <x v="0"/>
  </r>
  <r>
    <s v="O0186"/>
    <x v="69"/>
    <x v="2"/>
    <x v="1"/>
    <x v="0"/>
    <n v="2"/>
    <n v="1200"/>
    <x v="12"/>
    <x v="1"/>
  </r>
  <r>
    <s v="O0187"/>
    <x v="57"/>
    <x v="1"/>
    <x v="3"/>
    <x v="0"/>
    <n v="2"/>
    <n v="1800"/>
    <x v="3"/>
    <x v="2"/>
  </r>
  <r>
    <s v="O0188"/>
    <x v="17"/>
    <x v="1"/>
    <x v="6"/>
    <x v="3"/>
    <n v="1"/>
    <n v="60"/>
    <x v="25"/>
    <x v="1"/>
  </r>
  <r>
    <s v="O0189"/>
    <x v="25"/>
    <x v="2"/>
    <x v="4"/>
    <x v="2"/>
    <n v="3"/>
    <n v="40"/>
    <x v="8"/>
    <x v="0"/>
  </r>
  <r>
    <s v="O0190"/>
    <x v="41"/>
    <x v="3"/>
    <x v="0"/>
    <x v="0"/>
    <n v="4"/>
    <n v="3500"/>
    <x v="28"/>
    <x v="1"/>
  </r>
  <r>
    <s v="O0191"/>
    <x v="6"/>
    <x v="2"/>
    <x v="7"/>
    <x v="3"/>
    <n v="2"/>
    <n v="180"/>
    <x v="29"/>
    <x v="0"/>
  </r>
  <r>
    <s v="O0192"/>
    <x v="77"/>
    <x v="2"/>
    <x v="5"/>
    <x v="1"/>
    <n v="4"/>
    <n v="2500"/>
    <x v="27"/>
    <x v="1"/>
  </r>
  <r>
    <s v="O0193"/>
    <x v="11"/>
    <x v="2"/>
    <x v="1"/>
    <x v="0"/>
    <n v="4"/>
    <n v="1200"/>
    <x v="2"/>
    <x v="0"/>
  </r>
  <r>
    <s v="O0194"/>
    <x v="78"/>
    <x v="0"/>
    <x v="6"/>
    <x v="3"/>
    <n v="3"/>
    <n v="60"/>
    <x v="14"/>
    <x v="2"/>
  </r>
  <r>
    <s v="O0195"/>
    <x v="54"/>
    <x v="3"/>
    <x v="0"/>
    <x v="0"/>
    <n v="5"/>
    <n v="3500"/>
    <x v="24"/>
    <x v="2"/>
  </r>
  <r>
    <s v="O0196"/>
    <x v="79"/>
    <x v="1"/>
    <x v="4"/>
    <x v="2"/>
    <n v="3"/>
    <n v="40"/>
    <x v="8"/>
    <x v="1"/>
  </r>
  <r>
    <s v="O0197"/>
    <x v="56"/>
    <x v="1"/>
    <x v="5"/>
    <x v="1"/>
    <n v="3"/>
    <n v="2500"/>
    <x v="26"/>
    <x v="0"/>
  </r>
  <r>
    <s v="O0198"/>
    <x v="45"/>
    <x v="2"/>
    <x v="0"/>
    <x v="0"/>
    <n v="2"/>
    <n v="3500"/>
    <x v="30"/>
    <x v="2"/>
  </r>
  <r>
    <s v="O0199"/>
    <x v="57"/>
    <x v="0"/>
    <x v="1"/>
    <x v="0"/>
    <n v="4"/>
    <n v="1200"/>
    <x v="2"/>
    <x v="2"/>
  </r>
  <r>
    <s v="O0200"/>
    <x v="59"/>
    <x v="1"/>
    <x v="3"/>
    <x v="0"/>
    <n v="4"/>
    <n v="1800"/>
    <x v="31"/>
    <x v="2"/>
  </r>
  <r>
    <s v="O0201"/>
    <x v="39"/>
    <x v="1"/>
    <x v="1"/>
    <x v="0"/>
    <n v="4"/>
    <n v="1200"/>
    <x v="2"/>
    <x v="0"/>
  </r>
  <r>
    <s v="O0202"/>
    <x v="27"/>
    <x v="0"/>
    <x v="7"/>
    <x v="3"/>
    <n v="5"/>
    <n v="180"/>
    <x v="19"/>
    <x v="1"/>
  </r>
  <r>
    <s v="O0203"/>
    <x v="49"/>
    <x v="0"/>
    <x v="7"/>
    <x v="3"/>
    <n v="1"/>
    <n v="180"/>
    <x v="14"/>
    <x v="0"/>
  </r>
  <r>
    <s v="O0204"/>
    <x v="80"/>
    <x v="2"/>
    <x v="5"/>
    <x v="1"/>
    <n v="5"/>
    <n v="2500"/>
    <x v="9"/>
    <x v="0"/>
  </r>
  <r>
    <s v="O0205"/>
    <x v="55"/>
    <x v="2"/>
    <x v="7"/>
    <x v="3"/>
    <n v="4"/>
    <n v="180"/>
    <x v="11"/>
    <x v="2"/>
  </r>
  <r>
    <s v="O0206"/>
    <x v="40"/>
    <x v="2"/>
    <x v="5"/>
    <x v="1"/>
    <n v="4"/>
    <n v="2500"/>
    <x v="27"/>
    <x v="1"/>
  </r>
  <r>
    <s v="O0207"/>
    <x v="63"/>
    <x v="1"/>
    <x v="0"/>
    <x v="0"/>
    <n v="2"/>
    <n v="3500"/>
    <x v="30"/>
    <x v="1"/>
  </r>
  <r>
    <s v="O0208"/>
    <x v="0"/>
    <x v="2"/>
    <x v="2"/>
    <x v="1"/>
    <n v="4"/>
    <n v="1200"/>
    <x v="2"/>
    <x v="1"/>
  </r>
  <r>
    <s v="O0209"/>
    <x v="7"/>
    <x v="1"/>
    <x v="3"/>
    <x v="0"/>
    <n v="5"/>
    <n v="1800"/>
    <x v="5"/>
    <x v="0"/>
  </r>
  <r>
    <s v="O0210"/>
    <x v="81"/>
    <x v="2"/>
    <x v="0"/>
    <x v="0"/>
    <n v="4"/>
    <n v="3500"/>
    <x v="28"/>
    <x v="1"/>
  </r>
  <r>
    <s v="O0211"/>
    <x v="82"/>
    <x v="1"/>
    <x v="5"/>
    <x v="1"/>
    <n v="1"/>
    <n v="2500"/>
    <x v="13"/>
    <x v="0"/>
  </r>
  <r>
    <s v="O0212"/>
    <x v="21"/>
    <x v="3"/>
    <x v="7"/>
    <x v="3"/>
    <n v="5"/>
    <n v="180"/>
    <x v="19"/>
    <x v="1"/>
  </r>
  <r>
    <s v="O0213"/>
    <x v="60"/>
    <x v="3"/>
    <x v="7"/>
    <x v="3"/>
    <n v="4"/>
    <n v="180"/>
    <x v="11"/>
    <x v="0"/>
  </r>
  <r>
    <s v="O0214"/>
    <x v="13"/>
    <x v="2"/>
    <x v="3"/>
    <x v="0"/>
    <n v="2"/>
    <n v="1800"/>
    <x v="3"/>
    <x v="0"/>
  </r>
  <r>
    <s v="O0215"/>
    <x v="83"/>
    <x v="3"/>
    <x v="7"/>
    <x v="3"/>
    <n v="2"/>
    <n v="180"/>
    <x v="29"/>
    <x v="1"/>
  </r>
  <r>
    <s v="O0216"/>
    <x v="82"/>
    <x v="1"/>
    <x v="0"/>
    <x v="0"/>
    <n v="2"/>
    <n v="3500"/>
    <x v="30"/>
    <x v="2"/>
  </r>
  <r>
    <s v="O0217"/>
    <x v="30"/>
    <x v="1"/>
    <x v="7"/>
    <x v="3"/>
    <n v="5"/>
    <n v="180"/>
    <x v="19"/>
    <x v="1"/>
  </r>
  <r>
    <s v="O0218"/>
    <x v="3"/>
    <x v="3"/>
    <x v="5"/>
    <x v="1"/>
    <n v="3"/>
    <n v="2500"/>
    <x v="26"/>
    <x v="0"/>
  </r>
  <r>
    <s v="O0219"/>
    <x v="24"/>
    <x v="3"/>
    <x v="4"/>
    <x v="2"/>
    <n v="1"/>
    <n v="40"/>
    <x v="17"/>
    <x v="1"/>
  </r>
  <r>
    <s v="O0220"/>
    <x v="16"/>
    <x v="0"/>
    <x v="2"/>
    <x v="1"/>
    <n v="3"/>
    <n v="1200"/>
    <x v="3"/>
    <x v="1"/>
  </r>
  <r>
    <s v="O0221"/>
    <x v="72"/>
    <x v="2"/>
    <x v="3"/>
    <x v="0"/>
    <n v="5"/>
    <n v="1800"/>
    <x v="5"/>
    <x v="0"/>
  </r>
  <r>
    <s v="O0222"/>
    <x v="67"/>
    <x v="2"/>
    <x v="3"/>
    <x v="0"/>
    <n v="3"/>
    <n v="1800"/>
    <x v="22"/>
    <x v="2"/>
  </r>
  <r>
    <s v="O0223"/>
    <x v="79"/>
    <x v="2"/>
    <x v="6"/>
    <x v="3"/>
    <n v="5"/>
    <n v="60"/>
    <x v="18"/>
    <x v="2"/>
  </r>
  <r>
    <s v="O0224"/>
    <x v="67"/>
    <x v="3"/>
    <x v="1"/>
    <x v="0"/>
    <n v="1"/>
    <n v="1200"/>
    <x v="1"/>
    <x v="1"/>
  </r>
  <r>
    <s v="O0225"/>
    <x v="30"/>
    <x v="2"/>
    <x v="3"/>
    <x v="0"/>
    <n v="2"/>
    <n v="1800"/>
    <x v="3"/>
    <x v="1"/>
  </r>
  <r>
    <s v="O0226"/>
    <x v="13"/>
    <x v="0"/>
    <x v="7"/>
    <x v="3"/>
    <n v="4"/>
    <n v="180"/>
    <x v="11"/>
    <x v="1"/>
  </r>
  <r>
    <s v="O0227"/>
    <x v="38"/>
    <x v="0"/>
    <x v="2"/>
    <x v="1"/>
    <n v="5"/>
    <n v="1200"/>
    <x v="4"/>
    <x v="0"/>
  </r>
  <r>
    <s v="O0228"/>
    <x v="30"/>
    <x v="1"/>
    <x v="0"/>
    <x v="0"/>
    <n v="2"/>
    <n v="3500"/>
    <x v="30"/>
    <x v="1"/>
  </r>
  <r>
    <s v="O0229"/>
    <x v="84"/>
    <x v="1"/>
    <x v="7"/>
    <x v="3"/>
    <n v="2"/>
    <n v="180"/>
    <x v="29"/>
    <x v="2"/>
  </r>
  <r>
    <s v="O0230"/>
    <x v="43"/>
    <x v="1"/>
    <x v="2"/>
    <x v="1"/>
    <n v="5"/>
    <n v="1200"/>
    <x v="4"/>
    <x v="0"/>
  </r>
  <r>
    <s v="O0231"/>
    <x v="76"/>
    <x v="3"/>
    <x v="0"/>
    <x v="0"/>
    <n v="4"/>
    <n v="3500"/>
    <x v="28"/>
    <x v="1"/>
  </r>
  <r>
    <s v="O0232"/>
    <x v="68"/>
    <x v="1"/>
    <x v="2"/>
    <x v="1"/>
    <n v="1"/>
    <n v="1200"/>
    <x v="1"/>
    <x v="0"/>
  </r>
  <r>
    <s v="O0233"/>
    <x v="85"/>
    <x v="1"/>
    <x v="1"/>
    <x v="0"/>
    <n v="3"/>
    <n v="1200"/>
    <x v="3"/>
    <x v="1"/>
  </r>
  <r>
    <s v="O0234"/>
    <x v="48"/>
    <x v="1"/>
    <x v="1"/>
    <x v="0"/>
    <n v="2"/>
    <n v="1200"/>
    <x v="12"/>
    <x v="0"/>
  </r>
  <r>
    <s v="O0235"/>
    <x v="43"/>
    <x v="1"/>
    <x v="7"/>
    <x v="3"/>
    <n v="5"/>
    <n v="180"/>
    <x v="19"/>
    <x v="0"/>
  </r>
  <r>
    <s v="O0236"/>
    <x v="8"/>
    <x v="2"/>
    <x v="0"/>
    <x v="0"/>
    <n v="5"/>
    <n v="3500"/>
    <x v="24"/>
    <x v="0"/>
  </r>
  <r>
    <s v="O0237"/>
    <x v="86"/>
    <x v="1"/>
    <x v="0"/>
    <x v="0"/>
    <n v="5"/>
    <n v="3500"/>
    <x v="24"/>
    <x v="0"/>
  </r>
  <r>
    <s v="O0238"/>
    <x v="20"/>
    <x v="2"/>
    <x v="3"/>
    <x v="0"/>
    <n v="2"/>
    <n v="1800"/>
    <x v="3"/>
    <x v="0"/>
  </r>
  <r>
    <s v="O0239"/>
    <x v="6"/>
    <x v="1"/>
    <x v="4"/>
    <x v="2"/>
    <n v="2"/>
    <n v="40"/>
    <x v="15"/>
    <x v="0"/>
  </r>
  <r>
    <s v="O0240"/>
    <x v="3"/>
    <x v="1"/>
    <x v="2"/>
    <x v="1"/>
    <n v="3"/>
    <n v="1200"/>
    <x v="3"/>
    <x v="0"/>
  </r>
  <r>
    <s v="O0241"/>
    <x v="58"/>
    <x v="3"/>
    <x v="6"/>
    <x v="3"/>
    <n v="5"/>
    <n v="60"/>
    <x v="18"/>
    <x v="2"/>
  </r>
  <r>
    <s v="O0242"/>
    <x v="36"/>
    <x v="1"/>
    <x v="6"/>
    <x v="3"/>
    <n v="1"/>
    <n v="60"/>
    <x v="25"/>
    <x v="1"/>
  </r>
  <r>
    <s v="O0243"/>
    <x v="47"/>
    <x v="1"/>
    <x v="7"/>
    <x v="3"/>
    <n v="4"/>
    <n v="180"/>
    <x v="11"/>
    <x v="1"/>
  </r>
  <r>
    <s v="O0244"/>
    <x v="20"/>
    <x v="1"/>
    <x v="0"/>
    <x v="0"/>
    <n v="2"/>
    <n v="3500"/>
    <x v="30"/>
    <x v="0"/>
  </r>
  <r>
    <s v="O0245"/>
    <x v="66"/>
    <x v="2"/>
    <x v="7"/>
    <x v="3"/>
    <n v="3"/>
    <n v="180"/>
    <x v="20"/>
    <x v="2"/>
  </r>
  <r>
    <s v="O0246"/>
    <x v="29"/>
    <x v="1"/>
    <x v="2"/>
    <x v="1"/>
    <n v="4"/>
    <n v="1200"/>
    <x v="2"/>
    <x v="2"/>
  </r>
  <r>
    <s v="O0247"/>
    <x v="50"/>
    <x v="1"/>
    <x v="4"/>
    <x v="2"/>
    <n v="3"/>
    <n v="40"/>
    <x v="8"/>
    <x v="2"/>
  </r>
  <r>
    <s v="O0248"/>
    <x v="32"/>
    <x v="2"/>
    <x v="2"/>
    <x v="1"/>
    <n v="2"/>
    <n v="1200"/>
    <x v="12"/>
    <x v="2"/>
  </r>
  <r>
    <s v="O0249"/>
    <x v="68"/>
    <x v="0"/>
    <x v="2"/>
    <x v="1"/>
    <n v="2"/>
    <n v="1200"/>
    <x v="12"/>
    <x v="0"/>
  </r>
  <r>
    <s v="O0250"/>
    <x v="7"/>
    <x v="1"/>
    <x v="7"/>
    <x v="3"/>
    <n v="5"/>
    <n v="180"/>
    <x v="19"/>
    <x v="0"/>
  </r>
  <r>
    <s v="O0251"/>
    <x v="67"/>
    <x v="2"/>
    <x v="4"/>
    <x v="2"/>
    <n v="5"/>
    <n v="40"/>
    <x v="6"/>
    <x v="2"/>
  </r>
  <r>
    <s v="O0252"/>
    <x v="60"/>
    <x v="2"/>
    <x v="2"/>
    <x v="1"/>
    <n v="3"/>
    <n v="1200"/>
    <x v="3"/>
    <x v="2"/>
  </r>
  <r>
    <s v="O0253"/>
    <x v="30"/>
    <x v="3"/>
    <x v="0"/>
    <x v="0"/>
    <n v="4"/>
    <n v="3500"/>
    <x v="28"/>
    <x v="0"/>
  </r>
  <r>
    <s v="O0254"/>
    <x v="43"/>
    <x v="3"/>
    <x v="5"/>
    <x v="1"/>
    <n v="1"/>
    <n v="2500"/>
    <x v="13"/>
    <x v="2"/>
  </r>
  <r>
    <s v="O0255"/>
    <x v="48"/>
    <x v="1"/>
    <x v="7"/>
    <x v="3"/>
    <n v="4"/>
    <n v="180"/>
    <x v="11"/>
    <x v="1"/>
  </r>
  <r>
    <s v="O0256"/>
    <x v="53"/>
    <x v="0"/>
    <x v="0"/>
    <x v="0"/>
    <n v="2"/>
    <n v="3500"/>
    <x v="30"/>
    <x v="1"/>
  </r>
  <r>
    <s v="O0257"/>
    <x v="77"/>
    <x v="2"/>
    <x v="6"/>
    <x v="3"/>
    <n v="3"/>
    <n v="60"/>
    <x v="14"/>
    <x v="2"/>
  </r>
  <r>
    <s v="O0258"/>
    <x v="17"/>
    <x v="0"/>
    <x v="3"/>
    <x v="0"/>
    <n v="1"/>
    <n v="1800"/>
    <x v="21"/>
    <x v="0"/>
  </r>
  <r>
    <s v="O0259"/>
    <x v="41"/>
    <x v="3"/>
    <x v="3"/>
    <x v="0"/>
    <n v="4"/>
    <n v="1800"/>
    <x v="31"/>
    <x v="0"/>
  </r>
  <r>
    <s v="O0260"/>
    <x v="74"/>
    <x v="1"/>
    <x v="6"/>
    <x v="3"/>
    <n v="3"/>
    <n v="60"/>
    <x v="14"/>
    <x v="2"/>
  </r>
  <r>
    <s v="O0261"/>
    <x v="63"/>
    <x v="1"/>
    <x v="5"/>
    <x v="1"/>
    <n v="3"/>
    <n v="2500"/>
    <x v="26"/>
    <x v="2"/>
  </r>
  <r>
    <s v="O0262"/>
    <x v="4"/>
    <x v="2"/>
    <x v="4"/>
    <x v="2"/>
    <n v="3"/>
    <n v="40"/>
    <x v="8"/>
    <x v="1"/>
  </r>
  <r>
    <s v="O0263"/>
    <x v="45"/>
    <x v="0"/>
    <x v="7"/>
    <x v="3"/>
    <n v="5"/>
    <n v="180"/>
    <x v="19"/>
    <x v="2"/>
  </r>
  <r>
    <s v="O0264"/>
    <x v="80"/>
    <x v="1"/>
    <x v="5"/>
    <x v="1"/>
    <n v="4"/>
    <n v="2500"/>
    <x v="27"/>
    <x v="2"/>
  </r>
  <r>
    <s v="O0265"/>
    <x v="84"/>
    <x v="1"/>
    <x v="6"/>
    <x v="3"/>
    <n v="5"/>
    <n v="60"/>
    <x v="18"/>
    <x v="2"/>
  </r>
  <r>
    <s v="O0266"/>
    <x v="79"/>
    <x v="2"/>
    <x v="2"/>
    <x v="1"/>
    <n v="2"/>
    <n v="1200"/>
    <x v="12"/>
    <x v="2"/>
  </r>
  <r>
    <s v="O0267"/>
    <x v="49"/>
    <x v="2"/>
    <x v="2"/>
    <x v="1"/>
    <n v="5"/>
    <n v="1200"/>
    <x v="4"/>
    <x v="0"/>
  </r>
  <r>
    <s v="O0268"/>
    <x v="76"/>
    <x v="3"/>
    <x v="6"/>
    <x v="3"/>
    <n v="3"/>
    <n v="60"/>
    <x v="14"/>
    <x v="2"/>
  </r>
  <r>
    <s v="O0269"/>
    <x v="53"/>
    <x v="1"/>
    <x v="0"/>
    <x v="0"/>
    <n v="5"/>
    <n v="3500"/>
    <x v="24"/>
    <x v="2"/>
  </r>
  <r>
    <s v="O0270"/>
    <x v="71"/>
    <x v="2"/>
    <x v="0"/>
    <x v="0"/>
    <n v="1"/>
    <n v="3500"/>
    <x v="16"/>
    <x v="1"/>
  </r>
  <r>
    <s v="O0271"/>
    <x v="34"/>
    <x v="2"/>
    <x v="3"/>
    <x v="0"/>
    <n v="2"/>
    <n v="1800"/>
    <x v="3"/>
    <x v="2"/>
  </r>
  <r>
    <s v="O0272"/>
    <x v="75"/>
    <x v="2"/>
    <x v="7"/>
    <x v="3"/>
    <n v="1"/>
    <n v="180"/>
    <x v="14"/>
    <x v="1"/>
  </r>
  <r>
    <s v="O0273"/>
    <x v="87"/>
    <x v="0"/>
    <x v="5"/>
    <x v="1"/>
    <n v="2"/>
    <n v="2500"/>
    <x v="7"/>
    <x v="2"/>
  </r>
  <r>
    <s v="O0274"/>
    <x v="35"/>
    <x v="3"/>
    <x v="5"/>
    <x v="1"/>
    <n v="3"/>
    <n v="2500"/>
    <x v="26"/>
    <x v="2"/>
  </r>
  <r>
    <s v="O0275"/>
    <x v="68"/>
    <x v="3"/>
    <x v="3"/>
    <x v="0"/>
    <n v="3"/>
    <n v="1800"/>
    <x v="22"/>
    <x v="2"/>
  </r>
  <r>
    <s v="O0276"/>
    <x v="74"/>
    <x v="1"/>
    <x v="1"/>
    <x v="0"/>
    <n v="5"/>
    <n v="1200"/>
    <x v="4"/>
    <x v="1"/>
  </r>
  <r>
    <s v="O0277"/>
    <x v="52"/>
    <x v="3"/>
    <x v="7"/>
    <x v="3"/>
    <n v="3"/>
    <n v="180"/>
    <x v="20"/>
    <x v="2"/>
  </r>
  <r>
    <s v="O0278"/>
    <x v="15"/>
    <x v="0"/>
    <x v="0"/>
    <x v="0"/>
    <n v="4"/>
    <n v="3500"/>
    <x v="28"/>
    <x v="1"/>
  </r>
  <r>
    <s v="O0279"/>
    <x v="22"/>
    <x v="3"/>
    <x v="3"/>
    <x v="0"/>
    <n v="5"/>
    <n v="1800"/>
    <x v="5"/>
    <x v="1"/>
  </r>
  <r>
    <s v="O0280"/>
    <x v="8"/>
    <x v="1"/>
    <x v="4"/>
    <x v="2"/>
    <n v="1"/>
    <n v="40"/>
    <x v="17"/>
    <x v="0"/>
  </r>
  <r>
    <s v="O0281"/>
    <x v="28"/>
    <x v="0"/>
    <x v="6"/>
    <x v="3"/>
    <n v="3"/>
    <n v="60"/>
    <x v="14"/>
    <x v="0"/>
  </r>
  <r>
    <s v="O0282"/>
    <x v="46"/>
    <x v="0"/>
    <x v="5"/>
    <x v="1"/>
    <n v="2"/>
    <n v="2500"/>
    <x v="7"/>
    <x v="0"/>
  </r>
  <r>
    <s v="O0283"/>
    <x v="42"/>
    <x v="2"/>
    <x v="0"/>
    <x v="0"/>
    <n v="5"/>
    <n v="3500"/>
    <x v="24"/>
    <x v="1"/>
  </r>
  <r>
    <s v="O0284"/>
    <x v="31"/>
    <x v="1"/>
    <x v="3"/>
    <x v="0"/>
    <n v="2"/>
    <n v="1800"/>
    <x v="3"/>
    <x v="0"/>
  </r>
  <r>
    <s v="O0285"/>
    <x v="19"/>
    <x v="1"/>
    <x v="2"/>
    <x v="1"/>
    <n v="2"/>
    <n v="1200"/>
    <x v="12"/>
    <x v="0"/>
  </r>
  <r>
    <s v="O0286"/>
    <x v="9"/>
    <x v="3"/>
    <x v="3"/>
    <x v="0"/>
    <n v="1"/>
    <n v="1800"/>
    <x v="21"/>
    <x v="2"/>
  </r>
  <r>
    <s v="O0287"/>
    <x v="52"/>
    <x v="3"/>
    <x v="5"/>
    <x v="1"/>
    <n v="1"/>
    <n v="2500"/>
    <x v="13"/>
    <x v="0"/>
  </r>
  <r>
    <s v="O0288"/>
    <x v="34"/>
    <x v="1"/>
    <x v="1"/>
    <x v="0"/>
    <n v="5"/>
    <n v="1200"/>
    <x v="4"/>
    <x v="2"/>
  </r>
  <r>
    <s v="O0289"/>
    <x v="47"/>
    <x v="0"/>
    <x v="6"/>
    <x v="3"/>
    <n v="2"/>
    <n v="60"/>
    <x v="8"/>
    <x v="0"/>
  </r>
  <r>
    <s v="O0290"/>
    <x v="84"/>
    <x v="0"/>
    <x v="4"/>
    <x v="2"/>
    <n v="5"/>
    <n v="40"/>
    <x v="6"/>
    <x v="2"/>
  </r>
  <r>
    <s v="O0291"/>
    <x v="54"/>
    <x v="3"/>
    <x v="3"/>
    <x v="0"/>
    <n v="2"/>
    <n v="1800"/>
    <x v="3"/>
    <x v="2"/>
  </r>
  <r>
    <s v="O0292"/>
    <x v="16"/>
    <x v="1"/>
    <x v="3"/>
    <x v="0"/>
    <n v="5"/>
    <n v="1800"/>
    <x v="5"/>
    <x v="0"/>
  </r>
  <r>
    <s v="O0293"/>
    <x v="48"/>
    <x v="1"/>
    <x v="0"/>
    <x v="0"/>
    <n v="3"/>
    <n v="3500"/>
    <x v="0"/>
    <x v="2"/>
  </r>
  <r>
    <s v="O0294"/>
    <x v="36"/>
    <x v="3"/>
    <x v="7"/>
    <x v="3"/>
    <n v="2"/>
    <n v="180"/>
    <x v="29"/>
    <x v="2"/>
  </r>
  <r>
    <s v="O0295"/>
    <x v="78"/>
    <x v="0"/>
    <x v="7"/>
    <x v="3"/>
    <n v="3"/>
    <n v="180"/>
    <x v="20"/>
    <x v="0"/>
  </r>
  <r>
    <s v="O0296"/>
    <x v="70"/>
    <x v="2"/>
    <x v="5"/>
    <x v="1"/>
    <n v="2"/>
    <n v="2500"/>
    <x v="7"/>
    <x v="1"/>
  </r>
  <r>
    <s v="O0297"/>
    <x v="74"/>
    <x v="1"/>
    <x v="4"/>
    <x v="2"/>
    <n v="1"/>
    <n v="40"/>
    <x v="17"/>
    <x v="2"/>
  </r>
  <r>
    <s v="O0298"/>
    <x v="39"/>
    <x v="3"/>
    <x v="5"/>
    <x v="1"/>
    <n v="5"/>
    <n v="2500"/>
    <x v="9"/>
    <x v="1"/>
  </r>
  <r>
    <s v="O0299"/>
    <x v="26"/>
    <x v="0"/>
    <x v="5"/>
    <x v="1"/>
    <n v="1"/>
    <n v="2500"/>
    <x v="13"/>
    <x v="1"/>
  </r>
  <r>
    <s v="O0300"/>
    <x v="72"/>
    <x v="2"/>
    <x v="7"/>
    <x v="3"/>
    <n v="4"/>
    <n v="180"/>
    <x v="1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3:C4" firstHeaderRow="1" firstDataRow="1" firstDataCol="0"/>
  <pivotFields count="10">
    <pivotField showAll="0"/>
    <pivotField numFmtId="14" showAll="0"/>
    <pivotField showAll="0"/>
    <pivotField showAll="0"/>
    <pivotField showAll="0"/>
    <pivotField showAll="0"/>
    <pivotField dataField="1" showAll="0"/>
    <pivotField showAll="0"/>
    <pivotField showAll="0"/>
    <pivotField showAll="0" defaultSubtotal="0"/>
  </pivotFields>
  <rowItems count="1">
    <i/>
  </rowItems>
  <colItems count="1">
    <i/>
  </colItems>
  <dataFields count="1">
    <dataField name="Sum of Unit Pric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0">
    <pivotField showAll="0"/>
    <pivotField numFmtId="14" showAll="0"/>
    <pivotField showAll="0"/>
    <pivotField showAll="0">
      <items count="9">
        <item x="5"/>
        <item x="3"/>
        <item x="1"/>
        <item x="7"/>
        <item x="6"/>
        <item x="2"/>
        <item x="0"/>
        <item x="4"/>
        <item t="default"/>
      </items>
    </pivotField>
    <pivotField showAll="0"/>
    <pivotField showAll="0"/>
    <pivotField showAll="0"/>
    <pivotField dataField="1" showAll="0"/>
    <pivotField showAll="0"/>
    <pivotField showAll="0" defaultSubtotal="0"/>
  </pivotFields>
  <rowItems count="1">
    <i/>
  </rowItems>
  <colItems count="1">
    <i/>
  </colItems>
  <dataFields count="1">
    <dataField name="Sum of Total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5">
  <location ref="A3:B7" firstHeaderRow="1" firstDataRow="1" firstDataCol="1"/>
  <pivotFields count="1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5">
        <item x="0"/>
        <item x="2"/>
        <item x="1"/>
        <item x="3"/>
        <item t="default"/>
      </items>
    </pivotField>
    <pivotField showAll="0"/>
    <pivotField showAll="0"/>
    <pivotField dataField="1" showAll="0">
      <items count="33">
        <item x="17"/>
        <item x="25"/>
        <item x="15"/>
        <item x="8"/>
        <item x="23"/>
        <item x="14"/>
        <item x="6"/>
        <item x="10"/>
        <item x="18"/>
        <item x="29"/>
        <item x="20"/>
        <item x="11"/>
        <item x="19"/>
        <item x="1"/>
        <item x="21"/>
        <item x="12"/>
        <item x="13"/>
        <item x="16"/>
        <item x="3"/>
        <item x="2"/>
        <item x="7"/>
        <item x="22"/>
        <item x="4"/>
        <item x="30"/>
        <item x="31"/>
        <item x="26"/>
        <item x="5"/>
        <item x="27"/>
        <item x="0"/>
        <item x="9"/>
        <item x="28"/>
        <item x="24"/>
        <item t="default"/>
      </items>
    </pivotField>
    <pivotField showAll="0"/>
    <pivotField showAll="0">
      <items count="15">
        <item x="0"/>
        <item x="1"/>
        <item x="2"/>
        <item x="3"/>
        <item x="4"/>
        <item x="5"/>
        <item x="6"/>
        <item x="7"/>
        <item x="8"/>
        <item x="9"/>
        <item x="10"/>
        <item x="11"/>
        <item x="12"/>
        <item x="13"/>
        <item t="default"/>
      </items>
    </pivotField>
  </pivotFields>
  <rowFields count="1">
    <field x="4"/>
  </rowFields>
  <rowItems count="4">
    <i>
      <x/>
    </i>
    <i>
      <x v="1"/>
    </i>
    <i>
      <x v="2"/>
    </i>
    <i>
      <x v="3"/>
    </i>
  </rowItems>
  <colItems count="1">
    <i/>
  </colItems>
  <dataFields count="1">
    <dataField name="Sum of Total Sales" fld="7" baseField="0" baseItem="0"/>
  </dataFields>
  <chartFormats count="32">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4" count="1" selected="0">
            <x v="0"/>
          </reference>
        </references>
      </pivotArea>
    </chartFormat>
    <chartFormat chart="2" format="12">
      <pivotArea type="data" outline="0" fieldPosition="0">
        <references count="2">
          <reference field="4294967294" count="1" selected="0">
            <x v="0"/>
          </reference>
          <reference field="4" count="1" selected="0">
            <x v="1"/>
          </reference>
        </references>
      </pivotArea>
    </chartFormat>
    <chartFormat chart="2" format="13">
      <pivotArea type="data" outline="0" fieldPosition="0">
        <references count="2">
          <reference field="4294967294" count="1" selected="0">
            <x v="0"/>
          </reference>
          <reference field="4" count="1" selected="0">
            <x v="2"/>
          </reference>
        </references>
      </pivotArea>
    </chartFormat>
    <chartFormat chart="2" format="14">
      <pivotArea type="data" outline="0" fieldPosition="0">
        <references count="2">
          <reference field="4294967294" count="1" selected="0">
            <x v="0"/>
          </reference>
          <reference field="4" count="1" selected="0">
            <x v="3"/>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4" count="1" selected="0">
            <x v="0"/>
          </reference>
        </references>
      </pivotArea>
    </chartFormat>
    <chartFormat chart="5" format="7">
      <pivotArea type="data" outline="0" fieldPosition="0">
        <references count="2">
          <reference field="4294967294" count="1" selected="0">
            <x v="0"/>
          </reference>
          <reference field="4" count="1" selected="0">
            <x v="1"/>
          </reference>
        </references>
      </pivotArea>
    </chartFormat>
    <chartFormat chart="5" format="8">
      <pivotArea type="data" outline="0" fieldPosition="0">
        <references count="2">
          <reference field="4294967294" count="1" selected="0">
            <x v="0"/>
          </reference>
          <reference field="4" count="1" selected="0">
            <x v="2"/>
          </reference>
        </references>
      </pivotArea>
    </chartFormat>
    <chartFormat chart="5" format="9">
      <pivotArea type="data" outline="0" fieldPosition="0">
        <references count="2">
          <reference field="4294967294" count="1" selected="0">
            <x v="0"/>
          </reference>
          <reference field="4" count="1" selected="0">
            <x v="3"/>
          </reference>
        </references>
      </pivotArea>
    </chartFormat>
    <chartFormat chart="0" format="7" series="1">
      <pivotArea type="data" outline="0" fieldPosition="0">
        <references count="1">
          <reference field="4294967294" count="1" selected="0">
            <x v="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4" count="1" selected="0">
            <x v="0"/>
          </reference>
        </references>
      </pivotArea>
    </chartFormat>
    <chartFormat chart="8" format="17">
      <pivotArea type="data" outline="0" fieldPosition="0">
        <references count="2">
          <reference field="4294967294" count="1" selected="0">
            <x v="0"/>
          </reference>
          <reference field="4" count="1" selected="0">
            <x v="1"/>
          </reference>
        </references>
      </pivotArea>
    </chartFormat>
    <chartFormat chart="8" format="18">
      <pivotArea type="data" outline="0" fieldPosition="0">
        <references count="2">
          <reference field="4294967294" count="1" selected="0">
            <x v="0"/>
          </reference>
          <reference field="4" count="1" selected="0">
            <x v="2"/>
          </reference>
        </references>
      </pivotArea>
    </chartFormat>
    <chartFormat chart="8" format="19">
      <pivotArea type="data" outline="0" fieldPosition="0">
        <references count="2">
          <reference field="4294967294" count="1" selected="0">
            <x v="0"/>
          </reference>
          <reference field="4" count="1" selected="0">
            <x v="3"/>
          </reference>
        </references>
      </pivotArea>
    </chartFormat>
    <chartFormat chart="0" format="8">
      <pivotArea type="data" outline="0" fieldPosition="0">
        <references count="2">
          <reference field="4294967294" count="1" selected="0">
            <x v="0"/>
          </reference>
          <reference field="4" count="1" selected="0">
            <x v="0"/>
          </reference>
        </references>
      </pivotArea>
    </chartFormat>
    <chartFormat chart="0" format="9">
      <pivotArea type="data" outline="0" fieldPosition="0">
        <references count="2">
          <reference field="4294967294" count="1" selected="0">
            <x v="0"/>
          </reference>
          <reference field="4" count="1" selected="0">
            <x v="1"/>
          </reference>
        </references>
      </pivotArea>
    </chartFormat>
    <chartFormat chart="0" format="10">
      <pivotArea type="data" outline="0" fieldPosition="0">
        <references count="2">
          <reference field="4294967294" count="1" selected="0">
            <x v="0"/>
          </reference>
          <reference field="4" count="1" selected="0">
            <x v="2"/>
          </reference>
        </references>
      </pivotArea>
    </chartFormat>
    <chartFormat chart="0" format="11">
      <pivotArea type="data" outline="0" fieldPosition="0">
        <references count="2">
          <reference field="4294967294" count="1" selected="0">
            <x v="0"/>
          </reference>
          <reference field="4" count="1" selected="0">
            <x v="3"/>
          </reference>
        </references>
      </pivotArea>
    </chartFormat>
    <chartFormat chart="10" format="18" series="1">
      <pivotArea type="data" outline="0" fieldPosition="0">
        <references count="1">
          <reference field="4294967294" count="1" selected="0">
            <x v="0"/>
          </reference>
        </references>
      </pivotArea>
    </chartFormat>
    <chartFormat chart="10" format="19">
      <pivotArea type="data" outline="0" fieldPosition="0">
        <references count="2">
          <reference field="4294967294" count="1" selected="0">
            <x v="0"/>
          </reference>
          <reference field="4" count="1" selected="0">
            <x v="0"/>
          </reference>
        </references>
      </pivotArea>
    </chartFormat>
    <chartFormat chart="10" format="20">
      <pivotArea type="data" outline="0" fieldPosition="0">
        <references count="2">
          <reference field="4294967294" count="1" selected="0">
            <x v="0"/>
          </reference>
          <reference field="4" count="1" selected="0">
            <x v="1"/>
          </reference>
        </references>
      </pivotArea>
    </chartFormat>
    <chartFormat chart="10" format="21">
      <pivotArea type="data" outline="0" fieldPosition="0">
        <references count="2">
          <reference field="4294967294" count="1" selected="0">
            <x v="0"/>
          </reference>
          <reference field="4" count="1" selected="0">
            <x v="2"/>
          </reference>
        </references>
      </pivotArea>
    </chartFormat>
    <chartFormat chart="10" format="22">
      <pivotArea type="data" outline="0" fieldPosition="0">
        <references count="2">
          <reference field="4294967294" count="1" selected="0">
            <x v="0"/>
          </reference>
          <reference field="4" count="1" selected="0">
            <x v="3"/>
          </reference>
        </references>
      </pivotArea>
    </chartFormat>
    <chartFormat chart="8" format="20">
      <pivotArea type="data" outline="0" fieldPosition="0">
        <references count="1">
          <reference field="4294967294" count="1" selected="0">
            <x v="0"/>
          </reference>
        </references>
      </pivotArea>
    </chartFormat>
    <chartFormat chart="0" format="12">
      <pivotArea type="data" outline="0" fieldPosition="0">
        <references count="1">
          <reference field="4294967294" count="1" selected="0">
            <x v="0"/>
          </reference>
        </references>
      </pivotArea>
    </chartFormat>
    <chartFormat chart="14" format="28" series="1">
      <pivotArea type="data" outline="0" fieldPosition="0">
        <references count="1">
          <reference field="4294967294" count="1" selected="0">
            <x v="0"/>
          </reference>
        </references>
      </pivotArea>
    </chartFormat>
    <chartFormat chart="14" format="29">
      <pivotArea type="data" outline="0" fieldPosition="0">
        <references count="2">
          <reference field="4294967294" count="1" selected="0">
            <x v="0"/>
          </reference>
          <reference field="4" count="1" selected="0">
            <x v="0"/>
          </reference>
        </references>
      </pivotArea>
    </chartFormat>
    <chartFormat chart="14" format="30">
      <pivotArea type="data" outline="0" fieldPosition="0">
        <references count="2">
          <reference field="4294967294" count="1" selected="0">
            <x v="0"/>
          </reference>
          <reference field="4" count="1" selected="0">
            <x v="1"/>
          </reference>
        </references>
      </pivotArea>
    </chartFormat>
    <chartFormat chart="14" format="31">
      <pivotArea type="data" outline="0" fieldPosition="0">
        <references count="2">
          <reference field="4294967294" count="1" selected="0">
            <x v="0"/>
          </reference>
          <reference field="4" count="1" selected="0">
            <x v="2"/>
          </reference>
        </references>
      </pivotArea>
    </chartFormat>
    <chartFormat chart="14" format="32">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9">
  <location ref="A3:B7" firstHeaderRow="1" firstDataRow="1" firstDataCol="1"/>
  <pivotFields count="1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0"/>
        <item x="3"/>
        <item x="2"/>
        <item x="1"/>
        <item t="default"/>
      </items>
    </pivotField>
    <pivotField showAll="0"/>
    <pivotField showAll="0">
      <items count="5">
        <item x="0"/>
        <item x="2"/>
        <item x="1"/>
        <item x="3"/>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4">
    <i>
      <x/>
    </i>
    <i>
      <x v="1"/>
    </i>
    <i>
      <x v="2"/>
    </i>
    <i>
      <x v="3"/>
    </i>
  </rowItems>
  <colItems count="1">
    <i/>
  </colItems>
  <dataFields count="1">
    <dataField name="Sum of Total Sales" fld="7" baseField="0" baseItem="0"/>
  </dataFields>
  <chartFormats count="6">
    <chartFormat chart="0"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7">
  <location ref="A3:B6" firstHeaderRow="1" firstDataRow="1" firstDataCol="1"/>
  <pivotFields count="1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5">
        <item x="0"/>
        <item x="2"/>
        <item x="1"/>
        <item x="3"/>
        <item t="default"/>
      </items>
    </pivotField>
    <pivotField showAll="0"/>
    <pivotField showAll="0"/>
    <pivotField dataField="1" showAll="0"/>
    <pivotField axis="axisRow" showAll="0">
      <items count="4">
        <item x="1"/>
        <item x="2"/>
        <item x="0"/>
        <item t="default"/>
      </items>
    </pivotField>
    <pivotField showAll="0">
      <items count="15">
        <item x="0"/>
        <item x="1"/>
        <item x="2"/>
        <item x="3"/>
        <item x="4"/>
        <item x="5"/>
        <item x="6"/>
        <item x="7"/>
        <item x="8"/>
        <item x="9"/>
        <item x="10"/>
        <item x="11"/>
        <item x="12"/>
        <item x="13"/>
        <item t="default"/>
      </items>
    </pivotField>
  </pivotFields>
  <rowFields count="1">
    <field x="8"/>
  </rowFields>
  <rowItems count="3">
    <i>
      <x/>
    </i>
    <i>
      <x v="1"/>
    </i>
    <i>
      <x v="2"/>
    </i>
  </rowItems>
  <colItems count="1">
    <i/>
  </colItems>
  <dataFields count="1">
    <dataField name="Sum of Total Sales" fld="7" baseField="0" baseItem="0"/>
  </dataFields>
  <chartFormats count="4">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7">
  <location ref="A3:B7" firstHeaderRow="1" firstDataRow="1" firstDataCol="1"/>
  <pivotFields count="1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5">
        <item x="0"/>
        <item x="2"/>
        <item x="1"/>
        <item x="3"/>
        <item t="default"/>
      </items>
    </pivotField>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9"/>
    <field x="1"/>
  </rowFields>
  <rowItems count="4">
    <i>
      <x v="1"/>
    </i>
    <i>
      <x v="2"/>
    </i>
    <i>
      <x v="3"/>
    </i>
    <i>
      <x v="4"/>
    </i>
  </rowItems>
  <colItems count="1">
    <i/>
  </colItems>
  <dataFields count="1">
    <dataField name="Sum of Total Sales" fld="7" baseField="0" baseItem="0"/>
  </dataFields>
  <chartFormats count="4">
    <chartFormat chart="2"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location ref="A3:B11" firstHeaderRow="1" firstDataRow="1" firstDataCol="1"/>
  <pivotFields count="10">
    <pivotField showAll="0"/>
    <pivotField numFmtId="14" showAll="0"/>
    <pivotField showAll="0"/>
    <pivotField axis="axisRow" showAll="0">
      <items count="9">
        <item x="5"/>
        <item x="3"/>
        <item x="1"/>
        <item x="7"/>
        <item x="6"/>
        <item x="2"/>
        <item x="0"/>
        <item x="4"/>
        <item t="default"/>
      </items>
    </pivotField>
    <pivotField showAll="0">
      <items count="5">
        <item x="0"/>
        <item x="2"/>
        <item x="1"/>
        <item x="3"/>
        <item t="default"/>
      </items>
    </pivotField>
    <pivotField showAll="0"/>
    <pivotField showAll="0"/>
    <pivotField dataField="1" showAll="0"/>
    <pivotField showAll="0"/>
    <pivotField showAll="0" defaultSubtotal="0"/>
  </pivotFields>
  <rowFields count="1">
    <field x="3"/>
  </rowFields>
  <rowItems count="8">
    <i>
      <x/>
    </i>
    <i>
      <x v="1"/>
    </i>
    <i>
      <x v="2"/>
    </i>
    <i>
      <x v="3"/>
    </i>
    <i>
      <x v="4"/>
    </i>
    <i>
      <x v="5"/>
    </i>
    <i>
      <x v="6"/>
    </i>
    <i>
      <x v="7"/>
    </i>
  </rowItems>
  <colItems count="1">
    <i/>
  </colItems>
  <dataFields count="1">
    <dataField name="Sum of Total Sales"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2"/>
    <pivotTable tabId="5" name="PivotTable1"/>
    <pivotTable tabId="7" name="PivotTable3"/>
    <pivotTable tabId="4" name="PivotTable1"/>
    <pivotTable tabId="6" name="PivotTable2"/>
  </pivotTables>
  <data>
    <tabular pivotCacheId="117487212">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Total_Sales" sourceName="Total Sales">
  <pivotTables>
    <pivotTable tabId="3" name="PivotTable2"/>
  </pivotTables>
  <data>
    <tabular pivotCacheId="117487212">
      <items count="32">
        <i x="17" s="1"/>
        <i x="25" s="1"/>
        <i x="15" s="1"/>
        <i x="8" s="1"/>
        <i x="23" s="1"/>
        <i x="14" s="1"/>
        <i x="6" s="1"/>
        <i x="10" s="1"/>
        <i x="18" s="1"/>
        <i x="29" s="1"/>
        <i x="20" s="1"/>
        <i x="11" s="1"/>
        <i x="19" s="1"/>
        <i x="1" s="1"/>
        <i x="21" s="1"/>
        <i x="12" s="1"/>
        <i x="13" s="1"/>
        <i x="16" s="1"/>
        <i x="3" s="1"/>
        <i x="2" s="1"/>
        <i x="7" s="1"/>
        <i x="22" s="1"/>
        <i x="4" s="1"/>
        <i x="30" s="1"/>
        <i x="31" s="1"/>
        <i x="26" s="1"/>
        <i x="5" s="1"/>
        <i x="27" s="1"/>
        <i x="0" s="1"/>
        <i x="9" s="1"/>
        <i x="28" s="1"/>
        <i x="2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tore_Name" sourceName="Store Name">
  <pivotTables>
    <pivotTable tabId="4" name="PivotTable1"/>
  </pivotTables>
  <data>
    <tabular pivotCacheId="117487212">
      <items count="4">
        <i x="0" s="1"/>
        <i x="3"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ayment_Mode" sourceName="Payment Mode">
  <pivotTables>
    <pivotTable tabId="5" name="PivotTable1"/>
  </pivotTables>
  <data>
    <tabular pivotCacheId="117487212">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Months" sourceName="Months">
  <pivotTables>
    <pivotTable tabId="6" name="PivotTable2"/>
  </pivotTables>
  <data>
    <tabular pivotCacheId="117487212">
      <items count="14">
        <i x="1" s="1"/>
        <i x="2" s="1"/>
        <i x="3" s="1"/>
        <i x="4" s="1"/>
        <i x="5" s="1" nd="1"/>
        <i x="6" s="1" nd="1"/>
        <i x="7" s="1" nd="1"/>
        <i x="8" s="1" nd="1"/>
        <i x="9" s="1" nd="1"/>
        <i x="10" s="1" nd="1"/>
        <i x="11" s="1" nd="1"/>
        <i x="12" s="1" nd="1"/>
        <i x="0" s="1" nd="1"/>
        <i x="13"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7" name="PivotTable3"/>
  </pivotTables>
  <data>
    <tabular pivotCacheId="117487212">
      <items count="8">
        <i x="3" s="1"/>
        <i x="1" s="1"/>
        <i x="7" s="1"/>
        <i x="6" s="1"/>
        <i x="2" s="1"/>
        <i x="0"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1300"/>
  <slicer name="Total Sales" cache="Slicer_Total_Sales" caption="Total Sales"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Store Name" cache="Slicer_Store_Name" caption="Store Name"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Payment Mode" cache="Slicer_Payment_Mode" caption="Payment Mode"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Months" cache="Slicer_Months" caption="Months" rowHeight="241300"/>
</slicers>
</file>

<file path=xl/slicers/slicer5.xml><?xml version="1.0" encoding="utf-8"?>
<slicers xmlns="http://schemas.microsoft.com/office/spreadsheetml/2009/9/main" xmlns:mc="http://schemas.openxmlformats.org/markup-compatibility/2006" xmlns:x="http://schemas.openxmlformats.org/spreadsheetml/2006/main" mc:Ignorable="x">
  <slicer name="Product" cache="Slicer_Product" caption="Product" rowHeight="241300"/>
</slicers>
</file>

<file path=xl/slicers/slicer6.xml><?xml version="1.0" encoding="utf-8"?>
<slicers xmlns="http://schemas.microsoft.com/office/spreadsheetml/2009/9/main" xmlns:mc="http://schemas.openxmlformats.org/markup-compatibility/2006" xmlns:x="http://schemas.openxmlformats.org/spreadsheetml/2006/main" mc:Ignorable="x">
  <slicer name="Category 1" cache="Slicer_Category" caption="Category" style="SlicerStyleLight3" rowHeight="241300"/>
  <slicer name="Total Sales 1" cache="Slicer_Total_Sales" caption="Total Sales" startItem="23" style="SlicerStyleLight3" rowHeight="241300"/>
  <slicer name="Store Name 1" cache="Slicer_Store_Name" caption="Store Name" style="SlicerStyleLight3" rowHeight="241300"/>
</slicers>
</file>

<file path=xl/slicers/slicer7.xml><?xml version="1.0" encoding="utf-8"?>
<slicers xmlns="http://schemas.microsoft.com/office/spreadsheetml/2009/9/main" xmlns:mc="http://schemas.openxmlformats.org/markup-compatibility/2006" xmlns:x="http://schemas.openxmlformats.org/spreadsheetml/2006/main" mc:Ignorable="x">
  <slicer name="Category 2" cache="Slicer_Category" caption="Category" style="SlicerStyleLight3" rowHeight="241300"/>
  <slicer name="Total Sales 2" cache="Slicer_Total_Sales" caption="Total Sales" startItem="29" style="SlicerStyleLight3" rowHeight="241300"/>
  <slicer name="Store Name 2" cache="Slicer_Store_Name" caption="Store Name" style="SlicerStyleLight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ln>
          <a:noFill/>
        </a:ln>
        <a:effectLst>
          <a:outerShdw blurRad="190500" dist="228600" dir="2700000" algn="ctr">
            <a:srgbClr val="000000">
              <a:alpha val="30000"/>
            </a:srgbClr>
          </a:outerShdw>
          <a:reflection blurRad="6350" stA="52000" endA="300" endPos="35000" dir="5400000" sy="-100000" algn="bl" rotWithShape="0"/>
        </a:effectLst>
        <a:scene3d>
          <a:camera prst="orthographicFront">
            <a:rot lat="0" lon="0" rev="0"/>
          </a:camera>
          <a:lightRig rig="glow" dir="t">
            <a:rot lat="0" lon="0" rev="4800000"/>
          </a:lightRig>
        </a:scene3d>
        <a:sp3d prstMaterial="matte">
          <a:bevelT w="127000" h="63500" prst="softRound"/>
        </a:sp3d>
      </a:spPr>
      <a:bodyPr vertOverflow="clip" horzOverflow="clip" wrap="square" rtlCol="0" anchor="ctr"/>
      <a:lstStyle>
        <a:defPPr algn="ctr">
          <a:defRPr sz="2000" b="1" i="0" u="none" strike="noStrike">
            <a:solidFill>
              <a:schemeClr val="tx1"/>
            </a:solidFill>
            <a:latin typeface="Arial" panose="020B0604020202020204" pitchFamily="34" charset="0"/>
            <a:ea typeface="Calibri"/>
            <a:cs typeface="Arial" panose="020B0604020202020204" pitchFamily="34" charset="0"/>
          </a:defRPr>
        </a:defPPr>
      </a:lstStyle>
      <a:style>
        <a:lnRef idx="0">
          <a:schemeClr val="accent6"/>
        </a:lnRef>
        <a:fillRef idx="3">
          <a:schemeClr val="accent6"/>
        </a:fillRef>
        <a:effectRef idx="3">
          <a:schemeClr val="accent6"/>
        </a:effectRef>
        <a:fontRef idx="minor">
          <a:schemeClr val="lt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4"/>
  <sheetViews>
    <sheetView workbookViewId="0">
      <selection activeCell="E9" sqref="E9"/>
    </sheetView>
  </sheetViews>
  <sheetFormatPr defaultRowHeight="15" x14ac:dyDescent="0.25"/>
  <cols>
    <col min="1" max="2" width="17.28515625" bestFit="1" customWidth="1"/>
    <col min="3" max="3" width="16.42578125" bestFit="1" customWidth="1"/>
  </cols>
  <sheetData>
    <row r="3" spans="1:3" x14ac:dyDescent="0.25">
      <c r="A3" t="s">
        <v>329</v>
      </c>
      <c r="C3" t="s">
        <v>334</v>
      </c>
    </row>
    <row r="4" spans="1:3" x14ac:dyDescent="0.25">
      <c r="A4" s="3">
        <v>1149700</v>
      </c>
      <c r="C4" s="3">
        <v>386980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02"/>
  <sheetViews>
    <sheetView topLeftCell="A280" workbookViewId="0">
      <selection activeCell="H302" sqref="H302"/>
    </sheetView>
  </sheetViews>
  <sheetFormatPr defaultRowHeight="15" x14ac:dyDescent="0.25"/>
  <cols>
    <col min="2" max="2" width="15.7109375" customWidth="1"/>
    <col min="3" max="3" width="15.42578125" customWidth="1"/>
    <col min="4" max="4" width="13.28515625" customWidth="1"/>
    <col min="5" max="5" width="16.42578125" customWidth="1"/>
    <col min="6" max="6" width="12.5703125" customWidth="1"/>
    <col min="8" max="8" width="14.42578125" customWidth="1"/>
    <col min="9" max="9" width="22.42578125" customWidth="1"/>
    <col min="10" max="10" width="13.140625" customWidth="1"/>
    <col min="11" max="11" width="15.5703125" customWidth="1"/>
  </cols>
  <sheetData>
    <row r="1" spans="1:11" x14ac:dyDescent="0.25">
      <c r="A1" s="12" t="s">
        <v>0</v>
      </c>
      <c r="B1" s="13" t="s">
        <v>1</v>
      </c>
      <c r="C1" s="13" t="s">
        <v>2</v>
      </c>
      <c r="D1" s="13" t="s">
        <v>3</v>
      </c>
      <c r="E1" s="13" t="s">
        <v>4</v>
      </c>
      <c r="F1" s="13" t="s">
        <v>5</v>
      </c>
      <c r="G1" s="13" t="s">
        <v>6</v>
      </c>
      <c r="H1" s="13" t="s">
        <v>7</v>
      </c>
      <c r="I1" s="14" t="s">
        <v>8</v>
      </c>
      <c r="J1" s="17"/>
      <c r="K1" s="17"/>
    </row>
    <row r="2" spans="1:11" x14ac:dyDescent="0.25">
      <c r="A2" s="4" t="s">
        <v>9</v>
      </c>
      <c r="B2" s="5">
        <v>45712</v>
      </c>
      <c r="C2" s="6" t="s">
        <v>10</v>
      </c>
      <c r="D2" s="6" t="s">
        <v>11</v>
      </c>
      <c r="E2" s="6" t="s">
        <v>12</v>
      </c>
      <c r="F2" s="6">
        <v>3</v>
      </c>
      <c r="G2" s="6">
        <v>3500</v>
      </c>
      <c r="H2" s="6">
        <v>10500</v>
      </c>
      <c r="I2" s="7" t="s">
        <v>13</v>
      </c>
    </row>
    <row r="3" spans="1:11" x14ac:dyDescent="0.25">
      <c r="A3" s="4" t="s">
        <v>14</v>
      </c>
      <c r="B3" s="5">
        <v>45710</v>
      </c>
      <c r="C3" s="6" t="s">
        <v>15</v>
      </c>
      <c r="D3" s="6" t="s">
        <v>16</v>
      </c>
      <c r="E3" s="6" t="s">
        <v>12</v>
      </c>
      <c r="F3" s="6">
        <v>1</v>
      </c>
      <c r="G3" s="6">
        <v>1200</v>
      </c>
      <c r="H3" s="6">
        <v>1200</v>
      </c>
      <c r="I3" s="7" t="s">
        <v>17</v>
      </c>
    </row>
    <row r="4" spans="1:11" x14ac:dyDescent="0.25">
      <c r="A4" s="4" t="s">
        <v>18</v>
      </c>
      <c r="B4" s="5">
        <v>45732</v>
      </c>
      <c r="C4" s="6" t="s">
        <v>15</v>
      </c>
      <c r="D4" s="6" t="s">
        <v>19</v>
      </c>
      <c r="E4" s="6" t="s">
        <v>20</v>
      </c>
      <c r="F4" s="6">
        <v>4</v>
      </c>
      <c r="G4" s="6">
        <v>1200</v>
      </c>
      <c r="H4" s="6">
        <v>4800</v>
      </c>
      <c r="I4" s="7" t="s">
        <v>21</v>
      </c>
    </row>
    <row r="5" spans="1:11" x14ac:dyDescent="0.25">
      <c r="A5" s="4" t="s">
        <v>22</v>
      </c>
      <c r="B5" s="5">
        <v>45663</v>
      </c>
      <c r="C5" s="6" t="s">
        <v>23</v>
      </c>
      <c r="D5" s="6" t="s">
        <v>19</v>
      </c>
      <c r="E5" s="6" t="s">
        <v>20</v>
      </c>
      <c r="F5" s="6">
        <v>3</v>
      </c>
      <c r="G5" s="6">
        <v>1200</v>
      </c>
      <c r="H5" s="6">
        <v>3600</v>
      </c>
      <c r="I5" s="7" t="s">
        <v>17</v>
      </c>
    </row>
    <row r="6" spans="1:11" x14ac:dyDescent="0.25">
      <c r="A6" s="4" t="s">
        <v>24</v>
      </c>
      <c r="B6" s="5">
        <v>45690</v>
      </c>
      <c r="C6" s="6" t="s">
        <v>23</v>
      </c>
      <c r="D6" s="6" t="s">
        <v>19</v>
      </c>
      <c r="E6" s="6" t="s">
        <v>20</v>
      </c>
      <c r="F6" s="6">
        <v>5</v>
      </c>
      <c r="G6" s="6">
        <v>1200</v>
      </c>
      <c r="H6" s="6">
        <v>6000</v>
      </c>
      <c r="I6" s="7" t="s">
        <v>17</v>
      </c>
    </row>
    <row r="7" spans="1:11" x14ac:dyDescent="0.25">
      <c r="A7" s="4" t="s">
        <v>25</v>
      </c>
      <c r="B7" s="5">
        <v>45660</v>
      </c>
      <c r="C7" s="6" t="s">
        <v>15</v>
      </c>
      <c r="D7" s="6" t="s">
        <v>26</v>
      </c>
      <c r="E7" s="6" t="s">
        <v>12</v>
      </c>
      <c r="F7" s="6">
        <v>5</v>
      </c>
      <c r="G7" s="6">
        <v>1800</v>
      </c>
      <c r="H7" s="6">
        <v>9000</v>
      </c>
      <c r="I7" s="7" t="s">
        <v>13</v>
      </c>
    </row>
    <row r="8" spans="1:11" x14ac:dyDescent="0.25">
      <c r="A8" s="4" t="s">
        <v>27</v>
      </c>
      <c r="B8" s="5">
        <v>45703</v>
      </c>
      <c r="C8" s="6" t="s">
        <v>28</v>
      </c>
      <c r="D8" s="6" t="s">
        <v>29</v>
      </c>
      <c r="E8" s="6" t="s">
        <v>30</v>
      </c>
      <c r="F8" s="6">
        <v>5</v>
      </c>
      <c r="G8" s="6">
        <v>40</v>
      </c>
      <c r="H8" s="6">
        <v>200</v>
      </c>
      <c r="I8" s="7" t="s">
        <v>13</v>
      </c>
    </row>
    <row r="9" spans="1:11" x14ac:dyDescent="0.25">
      <c r="A9" s="4" t="s">
        <v>31</v>
      </c>
      <c r="B9" s="5">
        <v>45673</v>
      </c>
      <c r="C9" s="6" t="s">
        <v>28</v>
      </c>
      <c r="D9" s="6" t="s">
        <v>32</v>
      </c>
      <c r="E9" s="6" t="s">
        <v>20</v>
      </c>
      <c r="F9" s="6">
        <v>2</v>
      </c>
      <c r="G9" s="6">
        <v>2500</v>
      </c>
      <c r="H9" s="6">
        <v>5000</v>
      </c>
      <c r="I9" s="7" t="s">
        <v>21</v>
      </c>
    </row>
    <row r="10" spans="1:11" x14ac:dyDescent="0.25">
      <c r="A10" s="4" t="s">
        <v>33</v>
      </c>
      <c r="B10" s="5">
        <v>45699</v>
      </c>
      <c r="C10" s="6" t="s">
        <v>23</v>
      </c>
      <c r="D10" s="6" t="s">
        <v>34</v>
      </c>
      <c r="E10" s="6" t="s">
        <v>35</v>
      </c>
      <c r="F10" s="6">
        <v>2</v>
      </c>
      <c r="G10" s="6">
        <v>60</v>
      </c>
      <c r="H10" s="6">
        <v>120</v>
      </c>
      <c r="I10" s="7" t="s">
        <v>13</v>
      </c>
    </row>
    <row r="11" spans="1:11" x14ac:dyDescent="0.25">
      <c r="A11" s="4" t="s">
        <v>36</v>
      </c>
      <c r="B11" s="5">
        <v>45687</v>
      </c>
      <c r="C11" s="6" t="s">
        <v>23</v>
      </c>
      <c r="D11" s="6" t="s">
        <v>32</v>
      </c>
      <c r="E11" s="6" t="s">
        <v>20</v>
      </c>
      <c r="F11" s="6">
        <v>5</v>
      </c>
      <c r="G11" s="6">
        <v>2500</v>
      </c>
      <c r="H11" s="6">
        <v>12500</v>
      </c>
      <c r="I11" s="7" t="s">
        <v>21</v>
      </c>
    </row>
    <row r="12" spans="1:11" x14ac:dyDescent="0.25">
      <c r="A12" s="4" t="s">
        <v>37</v>
      </c>
      <c r="B12" s="5">
        <v>45745</v>
      </c>
      <c r="C12" s="6" t="s">
        <v>28</v>
      </c>
      <c r="D12" s="6" t="s">
        <v>11</v>
      </c>
      <c r="E12" s="6" t="s">
        <v>12</v>
      </c>
      <c r="F12" s="6">
        <v>3</v>
      </c>
      <c r="G12" s="6">
        <v>3500</v>
      </c>
      <c r="H12" s="6">
        <v>10500</v>
      </c>
      <c r="I12" s="7" t="s">
        <v>21</v>
      </c>
    </row>
    <row r="13" spans="1:11" x14ac:dyDescent="0.25">
      <c r="A13" s="4" t="s">
        <v>38</v>
      </c>
      <c r="B13" s="5">
        <v>45743</v>
      </c>
      <c r="C13" s="6" t="s">
        <v>10</v>
      </c>
      <c r="D13" s="6" t="s">
        <v>34</v>
      </c>
      <c r="E13" s="6" t="s">
        <v>35</v>
      </c>
      <c r="F13" s="6">
        <v>4</v>
      </c>
      <c r="G13" s="6">
        <v>60</v>
      </c>
      <c r="H13" s="6">
        <v>240</v>
      </c>
      <c r="I13" s="7" t="s">
        <v>13</v>
      </c>
    </row>
    <row r="14" spans="1:11" x14ac:dyDescent="0.25">
      <c r="A14" s="4" t="s">
        <v>39</v>
      </c>
      <c r="B14" s="5">
        <v>45706</v>
      </c>
      <c r="C14" s="6" t="s">
        <v>15</v>
      </c>
      <c r="D14" s="6" t="s">
        <v>40</v>
      </c>
      <c r="E14" s="6" t="s">
        <v>35</v>
      </c>
      <c r="F14" s="6">
        <v>4</v>
      </c>
      <c r="G14" s="6">
        <v>180</v>
      </c>
      <c r="H14" s="6">
        <v>720</v>
      </c>
      <c r="I14" s="7" t="s">
        <v>13</v>
      </c>
    </row>
    <row r="15" spans="1:11" x14ac:dyDescent="0.25">
      <c r="A15" s="4" t="s">
        <v>41</v>
      </c>
      <c r="B15" s="5">
        <v>45743</v>
      </c>
      <c r="C15" s="6" t="s">
        <v>28</v>
      </c>
      <c r="D15" s="6" t="s">
        <v>16</v>
      </c>
      <c r="E15" s="6" t="s">
        <v>12</v>
      </c>
      <c r="F15" s="6">
        <v>2</v>
      </c>
      <c r="G15" s="6">
        <v>1200</v>
      </c>
      <c r="H15" s="6">
        <v>2400</v>
      </c>
      <c r="I15" s="7" t="s">
        <v>13</v>
      </c>
    </row>
    <row r="16" spans="1:11" x14ac:dyDescent="0.25">
      <c r="A16" s="4" t="s">
        <v>42</v>
      </c>
      <c r="B16" s="5">
        <v>45671</v>
      </c>
      <c r="C16" s="6" t="s">
        <v>10</v>
      </c>
      <c r="D16" s="6" t="s">
        <v>32</v>
      </c>
      <c r="E16" s="6" t="s">
        <v>20</v>
      </c>
      <c r="F16" s="6">
        <v>1</v>
      </c>
      <c r="G16" s="6">
        <v>2500</v>
      </c>
      <c r="H16" s="6">
        <v>2500</v>
      </c>
      <c r="I16" s="7" t="s">
        <v>21</v>
      </c>
    </row>
    <row r="17" spans="1:9" x14ac:dyDescent="0.25">
      <c r="A17" s="4" t="s">
        <v>43</v>
      </c>
      <c r="B17" s="5">
        <v>45712</v>
      </c>
      <c r="C17" s="6" t="s">
        <v>28</v>
      </c>
      <c r="D17" s="6" t="s">
        <v>34</v>
      </c>
      <c r="E17" s="6" t="s">
        <v>35</v>
      </c>
      <c r="F17" s="6">
        <v>3</v>
      </c>
      <c r="G17" s="6">
        <v>60</v>
      </c>
      <c r="H17" s="6">
        <v>180</v>
      </c>
      <c r="I17" s="7" t="s">
        <v>17</v>
      </c>
    </row>
    <row r="18" spans="1:9" x14ac:dyDescent="0.25">
      <c r="A18" s="4" t="s">
        <v>44</v>
      </c>
      <c r="B18" s="5">
        <v>45736</v>
      </c>
      <c r="C18" s="6" t="s">
        <v>10</v>
      </c>
      <c r="D18" s="6" t="s">
        <v>19</v>
      </c>
      <c r="E18" s="6" t="s">
        <v>20</v>
      </c>
      <c r="F18" s="6">
        <v>2</v>
      </c>
      <c r="G18" s="6">
        <v>1200</v>
      </c>
      <c r="H18" s="6">
        <v>2400</v>
      </c>
      <c r="I18" s="7" t="s">
        <v>21</v>
      </c>
    </row>
    <row r="19" spans="1:9" x14ac:dyDescent="0.25">
      <c r="A19" s="4" t="s">
        <v>45</v>
      </c>
      <c r="B19" s="5">
        <v>45672</v>
      </c>
      <c r="C19" s="6" t="s">
        <v>10</v>
      </c>
      <c r="D19" s="6" t="s">
        <v>40</v>
      </c>
      <c r="E19" s="6" t="s">
        <v>35</v>
      </c>
      <c r="F19" s="6">
        <v>1</v>
      </c>
      <c r="G19" s="6">
        <v>180</v>
      </c>
      <c r="H19" s="6">
        <v>180</v>
      </c>
      <c r="I19" s="7" t="s">
        <v>13</v>
      </c>
    </row>
    <row r="20" spans="1:9" x14ac:dyDescent="0.25">
      <c r="A20" s="4" t="s">
        <v>46</v>
      </c>
      <c r="B20" s="5">
        <v>45681</v>
      </c>
      <c r="C20" s="6" t="s">
        <v>28</v>
      </c>
      <c r="D20" s="6" t="s">
        <v>29</v>
      </c>
      <c r="E20" s="6" t="s">
        <v>30</v>
      </c>
      <c r="F20" s="6">
        <v>2</v>
      </c>
      <c r="G20" s="6">
        <v>40</v>
      </c>
      <c r="H20" s="6">
        <v>80</v>
      </c>
      <c r="I20" s="7" t="s">
        <v>13</v>
      </c>
    </row>
    <row r="21" spans="1:9" x14ac:dyDescent="0.25">
      <c r="A21" s="4" t="s">
        <v>47</v>
      </c>
      <c r="B21" s="5">
        <v>45725</v>
      </c>
      <c r="C21" s="6" t="s">
        <v>15</v>
      </c>
      <c r="D21" s="6" t="s">
        <v>11</v>
      </c>
      <c r="E21" s="6" t="s">
        <v>12</v>
      </c>
      <c r="F21" s="6">
        <v>1</v>
      </c>
      <c r="G21" s="6">
        <v>3500</v>
      </c>
      <c r="H21" s="6">
        <v>3500</v>
      </c>
      <c r="I21" s="7" t="s">
        <v>21</v>
      </c>
    </row>
    <row r="22" spans="1:9" x14ac:dyDescent="0.25">
      <c r="A22" s="4" t="s">
        <v>48</v>
      </c>
      <c r="B22" s="5">
        <v>45668</v>
      </c>
      <c r="C22" s="6" t="s">
        <v>15</v>
      </c>
      <c r="D22" s="6" t="s">
        <v>29</v>
      </c>
      <c r="E22" s="6" t="s">
        <v>30</v>
      </c>
      <c r="F22" s="6">
        <v>1</v>
      </c>
      <c r="G22" s="6">
        <v>40</v>
      </c>
      <c r="H22" s="6">
        <v>40</v>
      </c>
      <c r="I22" s="7" t="s">
        <v>21</v>
      </c>
    </row>
    <row r="23" spans="1:9" x14ac:dyDescent="0.25">
      <c r="A23" s="4" t="s">
        <v>49</v>
      </c>
      <c r="B23" s="5">
        <v>45726</v>
      </c>
      <c r="C23" s="6" t="s">
        <v>15</v>
      </c>
      <c r="D23" s="6" t="s">
        <v>34</v>
      </c>
      <c r="E23" s="6" t="s">
        <v>35</v>
      </c>
      <c r="F23" s="6">
        <v>5</v>
      </c>
      <c r="G23" s="6">
        <v>60</v>
      </c>
      <c r="H23" s="6">
        <v>300</v>
      </c>
      <c r="I23" s="7" t="s">
        <v>21</v>
      </c>
    </row>
    <row r="24" spans="1:9" x14ac:dyDescent="0.25">
      <c r="A24" s="4" t="s">
        <v>50</v>
      </c>
      <c r="B24" s="5">
        <v>45730</v>
      </c>
      <c r="C24" s="6" t="s">
        <v>15</v>
      </c>
      <c r="D24" s="6" t="s">
        <v>40</v>
      </c>
      <c r="E24" s="6" t="s">
        <v>35</v>
      </c>
      <c r="F24" s="6">
        <v>5</v>
      </c>
      <c r="G24" s="6">
        <v>180</v>
      </c>
      <c r="H24" s="6">
        <v>900</v>
      </c>
      <c r="I24" s="7" t="s">
        <v>13</v>
      </c>
    </row>
    <row r="25" spans="1:9" x14ac:dyDescent="0.25">
      <c r="A25" s="4" t="s">
        <v>51</v>
      </c>
      <c r="B25" s="5">
        <v>45692</v>
      </c>
      <c r="C25" s="6" t="s">
        <v>23</v>
      </c>
      <c r="D25" s="6" t="s">
        <v>40</v>
      </c>
      <c r="E25" s="6" t="s">
        <v>35</v>
      </c>
      <c r="F25" s="6">
        <v>3</v>
      </c>
      <c r="G25" s="6">
        <v>180</v>
      </c>
      <c r="H25" s="6">
        <v>540</v>
      </c>
      <c r="I25" s="7" t="s">
        <v>13</v>
      </c>
    </row>
    <row r="26" spans="1:9" x14ac:dyDescent="0.25">
      <c r="A26" s="4" t="s">
        <v>52</v>
      </c>
      <c r="B26" s="5">
        <v>45663</v>
      </c>
      <c r="C26" s="6" t="s">
        <v>10</v>
      </c>
      <c r="D26" s="6" t="s">
        <v>26</v>
      </c>
      <c r="E26" s="6" t="s">
        <v>12</v>
      </c>
      <c r="F26" s="6">
        <v>1</v>
      </c>
      <c r="G26" s="6">
        <v>1800</v>
      </c>
      <c r="H26" s="6">
        <v>1800</v>
      </c>
      <c r="I26" s="7" t="s">
        <v>21</v>
      </c>
    </row>
    <row r="27" spans="1:9" x14ac:dyDescent="0.25">
      <c r="A27" s="4" t="s">
        <v>53</v>
      </c>
      <c r="B27" s="5">
        <v>45660</v>
      </c>
      <c r="C27" s="6" t="s">
        <v>10</v>
      </c>
      <c r="D27" s="6" t="s">
        <v>32</v>
      </c>
      <c r="E27" s="6" t="s">
        <v>20</v>
      </c>
      <c r="F27" s="6">
        <v>2</v>
      </c>
      <c r="G27" s="6">
        <v>2500</v>
      </c>
      <c r="H27" s="6">
        <v>5000</v>
      </c>
      <c r="I27" s="7" t="s">
        <v>13</v>
      </c>
    </row>
    <row r="28" spans="1:9" x14ac:dyDescent="0.25">
      <c r="A28" s="4" t="s">
        <v>54</v>
      </c>
      <c r="B28" s="5">
        <v>45658</v>
      </c>
      <c r="C28" s="6" t="s">
        <v>23</v>
      </c>
      <c r="D28" s="6" t="s">
        <v>34</v>
      </c>
      <c r="E28" s="6" t="s">
        <v>35</v>
      </c>
      <c r="F28" s="6">
        <v>3</v>
      </c>
      <c r="G28" s="6">
        <v>60</v>
      </c>
      <c r="H28" s="6">
        <v>180</v>
      </c>
      <c r="I28" s="7" t="s">
        <v>21</v>
      </c>
    </row>
    <row r="29" spans="1:9" x14ac:dyDescent="0.25">
      <c r="A29" s="4" t="s">
        <v>55</v>
      </c>
      <c r="B29" s="5">
        <v>45682</v>
      </c>
      <c r="C29" s="6" t="s">
        <v>10</v>
      </c>
      <c r="D29" s="6" t="s">
        <v>32</v>
      </c>
      <c r="E29" s="6" t="s">
        <v>20</v>
      </c>
      <c r="F29" s="6">
        <v>2</v>
      </c>
      <c r="G29" s="6">
        <v>2500</v>
      </c>
      <c r="H29" s="6">
        <v>5000</v>
      </c>
      <c r="I29" s="7" t="s">
        <v>21</v>
      </c>
    </row>
    <row r="30" spans="1:9" x14ac:dyDescent="0.25">
      <c r="A30" s="4" t="s">
        <v>56</v>
      </c>
      <c r="B30" s="5">
        <v>45672</v>
      </c>
      <c r="C30" s="6" t="s">
        <v>23</v>
      </c>
      <c r="D30" s="6" t="s">
        <v>26</v>
      </c>
      <c r="E30" s="6" t="s">
        <v>12</v>
      </c>
      <c r="F30" s="6">
        <v>3</v>
      </c>
      <c r="G30" s="6">
        <v>1800</v>
      </c>
      <c r="H30" s="6">
        <v>5400</v>
      </c>
      <c r="I30" s="7" t="s">
        <v>21</v>
      </c>
    </row>
    <row r="31" spans="1:9" x14ac:dyDescent="0.25">
      <c r="A31" s="4" t="s">
        <v>57</v>
      </c>
      <c r="B31" s="5">
        <v>45668</v>
      </c>
      <c r="C31" s="6" t="s">
        <v>23</v>
      </c>
      <c r="D31" s="6" t="s">
        <v>19</v>
      </c>
      <c r="E31" s="6" t="s">
        <v>20</v>
      </c>
      <c r="F31" s="6">
        <v>1</v>
      </c>
      <c r="G31" s="6">
        <v>1200</v>
      </c>
      <c r="H31" s="6">
        <v>1200</v>
      </c>
      <c r="I31" s="7" t="s">
        <v>17</v>
      </c>
    </row>
    <row r="32" spans="1:9" x14ac:dyDescent="0.25">
      <c r="A32" s="4" t="s">
        <v>58</v>
      </c>
      <c r="B32" s="5">
        <v>45684</v>
      </c>
      <c r="C32" s="6" t="s">
        <v>15</v>
      </c>
      <c r="D32" s="6" t="s">
        <v>34</v>
      </c>
      <c r="E32" s="6" t="s">
        <v>35</v>
      </c>
      <c r="F32" s="6">
        <v>3</v>
      </c>
      <c r="G32" s="6">
        <v>60</v>
      </c>
      <c r="H32" s="6">
        <v>180</v>
      </c>
      <c r="I32" s="7" t="s">
        <v>13</v>
      </c>
    </row>
    <row r="33" spans="1:9" x14ac:dyDescent="0.25">
      <c r="A33" s="4" t="s">
        <v>59</v>
      </c>
      <c r="B33" s="5">
        <v>45736</v>
      </c>
      <c r="C33" s="6" t="s">
        <v>23</v>
      </c>
      <c r="D33" s="6" t="s">
        <v>29</v>
      </c>
      <c r="E33" s="6" t="s">
        <v>30</v>
      </c>
      <c r="F33" s="6">
        <v>4</v>
      </c>
      <c r="G33" s="6">
        <v>40</v>
      </c>
      <c r="H33" s="6">
        <v>160</v>
      </c>
      <c r="I33" s="7" t="s">
        <v>13</v>
      </c>
    </row>
    <row r="34" spans="1:9" x14ac:dyDescent="0.25">
      <c r="A34" s="4" t="s">
        <v>60</v>
      </c>
      <c r="B34" s="5">
        <v>45710</v>
      </c>
      <c r="C34" s="6" t="s">
        <v>23</v>
      </c>
      <c r="D34" s="6" t="s">
        <v>11</v>
      </c>
      <c r="E34" s="6" t="s">
        <v>12</v>
      </c>
      <c r="F34" s="6">
        <v>5</v>
      </c>
      <c r="G34" s="6">
        <v>3500</v>
      </c>
      <c r="H34" s="6">
        <v>17500</v>
      </c>
      <c r="I34" s="7" t="s">
        <v>13</v>
      </c>
    </row>
    <row r="35" spans="1:9" x14ac:dyDescent="0.25">
      <c r="A35" s="4" t="s">
        <v>61</v>
      </c>
      <c r="B35" s="5">
        <v>45687</v>
      </c>
      <c r="C35" s="6" t="s">
        <v>28</v>
      </c>
      <c r="D35" s="6" t="s">
        <v>34</v>
      </c>
      <c r="E35" s="6" t="s">
        <v>35</v>
      </c>
      <c r="F35" s="6">
        <v>5</v>
      </c>
      <c r="G35" s="6">
        <v>60</v>
      </c>
      <c r="H35" s="6">
        <v>300</v>
      </c>
      <c r="I35" s="7" t="s">
        <v>17</v>
      </c>
    </row>
    <row r="36" spans="1:9" x14ac:dyDescent="0.25">
      <c r="A36" s="4" t="s">
        <v>62</v>
      </c>
      <c r="B36" s="5">
        <v>45723</v>
      </c>
      <c r="C36" s="6" t="s">
        <v>15</v>
      </c>
      <c r="D36" s="6" t="s">
        <v>19</v>
      </c>
      <c r="E36" s="6" t="s">
        <v>20</v>
      </c>
      <c r="F36" s="6">
        <v>1</v>
      </c>
      <c r="G36" s="6">
        <v>1200</v>
      </c>
      <c r="H36" s="6">
        <v>1200</v>
      </c>
      <c r="I36" s="7" t="s">
        <v>13</v>
      </c>
    </row>
    <row r="37" spans="1:9" x14ac:dyDescent="0.25">
      <c r="A37" s="4" t="s">
        <v>63</v>
      </c>
      <c r="B37" s="5">
        <v>45743</v>
      </c>
      <c r="C37" s="6" t="s">
        <v>15</v>
      </c>
      <c r="D37" s="6" t="s">
        <v>19</v>
      </c>
      <c r="E37" s="6" t="s">
        <v>20</v>
      </c>
      <c r="F37" s="6">
        <v>2</v>
      </c>
      <c r="G37" s="6">
        <v>1200</v>
      </c>
      <c r="H37" s="6">
        <v>2400</v>
      </c>
      <c r="I37" s="7" t="s">
        <v>17</v>
      </c>
    </row>
    <row r="38" spans="1:9" x14ac:dyDescent="0.25">
      <c r="A38" s="4" t="s">
        <v>64</v>
      </c>
      <c r="B38" s="5">
        <v>45695</v>
      </c>
      <c r="C38" s="6" t="s">
        <v>28</v>
      </c>
      <c r="D38" s="6" t="s">
        <v>11</v>
      </c>
      <c r="E38" s="6" t="s">
        <v>12</v>
      </c>
      <c r="F38" s="6">
        <v>3</v>
      </c>
      <c r="G38" s="6">
        <v>3500</v>
      </c>
      <c r="H38" s="6">
        <v>10500</v>
      </c>
      <c r="I38" s="7" t="s">
        <v>17</v>
      </c>
    </row>
    <row r="39" spans="1:9" x14ac:dyDescent="0.25">
      <c r="A39" s="4" t="s">
        <v>65</v>
      </c>
      <c r="B39" s="5">
        <v>45736</v>
      </c>
      <c r="C39" s="6" t="s">
        <v>15</v>
      </c>
      <c r="D39" s="6" t="s">
        <v>26</v>
      </c>
      <c r="E39" s="6" t="s">
        <v>12</v>
      </c>
      <c r="F39" s="6">
        <v>1</v>
      </c>
      <c r="G39" s="6">
        <v>1800</v>
      </c>
      <c r="H39" s="6">
        <v>1800</v>
      </c>
      <c r="I39" s="7" t="s">
        <v>13</v>
      </c>
    </row>
    <row r="40" spans="1:9" x14ac:dyDescent="0.25">
      <c r="A40" s="4" t="s">
        <v>66</v>
      </c>
      <c r="B40" s="5">
        <v>45661</v>
      </c>
      <c r="C40" s="6" t="s">
        <v>28</v>
      </c>
      <c r="D40" s="6" t="s">
        <v>19</v>
      </c>
      <c r="E40" s="6" t="s">
        <v>20</v>
      </c>
      <c r="F40" s="6">
        <v>4</v>
      </c>
      <c r="G40" s="6">
        <v>1200</v>
      </c>
      <c r="H40" s="6">
        <v>4800</v>
      </c>
      <c r="I40" s="7" t="s">
        <v>21</v>
      </c>
    </row>
    <row r="41" spans="1:9" x14ac:dyDescent="0.25">
      <c r="A41" s="4" t="s">
        <v>67</v>
      </c>
      <c r="B41" s="5">
        <v>45684</v>
      </c>
      <c r="C41" s="6" t="s">
        <v>23</v>
      </c>
      <c r="D41" s="6" t="s">
        <v>26</v>
      </c>
      <c r="E41" s="6" t="s">
        <v>12</v>
      </c>
      <c r="F41" s="6">
        <v>5</v>
      </c>
      <c r="G41" s="6">
        <v>1800</v>
      </c>
      <c r="H41" s="6">
        <v>9000</v>
      </c>
      <c r="I41" s="7" t="s">
        <v>17</v>
      </c>
    </row>
    <row r="42" spans="1:9" x14ac:dyDescent="0.25">
      <c r="A42" s="4" t="s">
        <v>68</v>
      </c>
      <c r="B42" s="5">
        <v>45714</v>
      </c>
      <c r="C42" s="6" t="s">
        <v>23</v>
      </c>
      <c r="D42" s="6" t="s">
        <v>16</v>
      </c>
      <c r="E42" s="6" t="s">
        <v>12</v>
      </c>
      <c r="F42" s="6">
        <v>3</v>
      </c>
      <c r="G42" s="6">
        <v>1200</v>
      </c>
      <c r="H42" s="6">
        <v>3600</v>
      </c>
      <c r="I42" s="7" t="s">
        <v>13</v>
      </c>
    </row>
    <row r="43" spans="1:9" x14ac:dyDescent="0.25">
      <c r="A43" s="4" t="s">
        <v>69</v>
      </c>
      <c r="B43" s="5">
        <v>45676</v>
      </c>
      <c r="C43" s="6" t="s">
        <v>23</v>
      </c>
      <c r="D43" s="6" t="s">
        <v>11</v>
      </c>
      <c r="E43" s="6" t="s">
        <v>12</v>
      </c>
      <c r="F43" s="6">
        <v>1</v>
      </c>
      <c r="G43" s="6">
        <v>3500</v>
      </c>
      <c r="H43" s="6">
        <v>3500</v>
      </c>
      <c r="I43" s="7" t="s">
        <v>17</v>
      </c>
    </row>
    <row r="44" spans="1:9" x14ac:dyDescent="0.25">
      <c r="A44" s="4" t="s">
        <v>70</v>
      </c>
      <c r="B44" s="5">
        <v>45660</v>
      </c>
      <c r="C44" s="6" t="s">
        <v>10</v>
      </c>
      <c r="D44" s="6" t="s">
        <v>16</v>
      </c>
      <c r="E44" s="6" t="s">
        <v>12</v>
      </c>
      <c r="F44" s="6">
        <v>3</v>
      </c>
      <c r="G44" s="6">
        <v>1200</v>
      </c>
      <c r="H44" s="6">
        <v>3600</v>
      </c>
      <c r="I44" s="7" t="s">
        <v>13</v>
      </c>
    </row>
    <row r="45" spans="1:9" x14ac:dyDescent="0.25">
      <c r="A45" s="4" t="s">
        <v>71</v>
      </c>
      <c r="B45" s="5">
        <v>45707</v>
      </c>
      <c r="C45" s="6" t="s">
        <v>28</v>
      </c>
      <c r="D45" s="6" t="s">
        <v>11</v>
      </c>
      <c r="E45" s="6" t="s">
        <v>12</v>
      </c>
      <c r="F45" s="6">
        <v>3</v>
      </c>
      <c r="G45" s="6">
        <v>3500</v>
      </c>
      <c r="H45" s="6">
        <v>10500</v>
      </c>
      <c r="I45" s="7" t="s">
        <v>21</v>
      </c>
    </row>
    <row r="46" spans="1:9" x14ac:dyDescent="0.25">
      <c r="A46" s="4" t="s">
        <v>72</v>
      </c>
      <c r="B46" s="5">
        <v>45709</v>
      </c>
      <c r="C46" s="6" t="s">
        <v>23</v>
      </c>
      <c r="D46" s="6" t="s">
        <v>40</v>
      </c>
      <c r="E46" s="6" t="s">
        <v>35</v>
      </c>
      <c r="F46" s="6">
        <v>3</v>
      </c>
      <c r="G46" s="6">
        <v>180</v>
      </c>
      <c r="H46" s="6">
        <v>540</v>
      </c>
      <c r="I46" s="7" t="s">
        <v>21</v>
      </c>
    </row>
    <row r="47" spans="1:9" x14ac:dyDescent="0.25">
      <c r="A47" s="4" t="s">
        <v>73</v>
      </c>
      <c r="B47" s="5">
        <v>45670</v>
      </c>
      <c r="C47" s="6" t="s">
        <v>15</v>
      </c>
      <c r="D47" s="6" t="s">
        <v>26</v>
      </c>
      <c r="E47" s="6" t="s">
        <v>12</v>
      </c>
      <c r="F47" s="6">
        <v>5</v>
      </c>
      <c r="G47" s="6">
        <v>1800</v>
      </c>
      <c r="H47" s="6">
        <v>9000</v>
      </c>
      <c r="I47" s="7" t="s">
        <v>17</v>
      </c>
    </row>
    <row r="48" spans="1:9" x14ac:dyDescent="0.25">
      <c r="A48" s="4" t="s">
        <v>74</v>
      </c>
      <c r="B48" s="5">
        <v>45729</v>
      </c>
      <c r="C48" s="6" t="s">
        <v>15</v>
      </c>
      <c r="D48" s="6" t="s">
        <v>11</v>
      </c>
      <c r="E48" s="6" t="s">
        <v>12</v>
      </c>
      <c r="F48" s="6">
        <v>1</v>
      </c>
      <c r="G48" s="6">
        <v>3500</v>
      </c>
      <c r="H48" s="6">
        <v>3500</v>
      </c>
      <c r="I48" s="7" t="s">
        <v>13</v>
      </c>
    </row>
    <row r="49" spans="1:9" x14ac:dyDescent="0.25">
      <c r="A49" s="4" t="s">
        <v>75</v>
      </c>
      <c r="B49" s="5">
        <v>45700</v>
      </c>
      <c r="C49" s="6" t="s">
        <v>10</v>
      </c>
      <c r="D49" s="6" t="s">
        <v>16</v>
      </c>
      <c r="E49" s="6" t="s">
        <v>12</v>
      </c>
      <c r="F49" s="6">
        <v>1</v>
      </c>
      <c r="G49" s="6">
        <v>1200</v>
      </c>
      <c r="H49" s="6">
        <v>1200</v>
      </c>
      <c r="I49" s="7" t="s">
        <v>21</v>
      </c>
    </row>
    <row r="50" spans="1:9" x14ac:dyDescent="0.25">
      <c r="A50" s="4" t="s">
        <v>76</v>
      </c>
      <c r="B50" s="5">
        <v>45704</v>
      </c>
      <c r="C50" s="6" t="s">
        <v>23</v>
      </c>
      <c r="D50" s="6" t="s">
        <v>11</v>
      </c>
      <c r="E50" s="6" t="s">
        <v>12</v>
      </c>
      <c r="F50" s="6">
        <v>5</v>
      </c>
      <c r="G50" s="6">
        <v>3500</v>
      </c>
      <c r="H50" s="6">
        <v>17500</v>
      </c>
      <c r="I50" s="7" t="s">
        <v>17</v>
      </c>
    </row>
    <row r="51" spans="1:9" x14ac:dyDescent="0.25">
      <c r="A51" s="4" t="s">
        <v>77</v>
      </c>
      <c r="B51" s="5">
        <v>45662</v>
      </c>
      <c r="C51" s="6" t="s">
        <v>28</v>
      </c>
      <c r="D51" s="6" t="s">
        <v>16</v>
      </c>
      <c r="E51" s="6" t="s">
        <v>12</v>
      </c>
      <c r="F51" s="6">
        <v>4</v>
      </c>
      <c r="G51" s="6">
        <v>1200</v>
      </c>
      <c r="H51" s="6">
        <v>4800</v>
      </c>
      <c r="I51" s="7" t="s">
        <v>17</v>
      </c>
    </row>
    <row r="52" spans="1:9" x14ac:dyDescent="0.25">
      <c r="A52" s="4" t="s">
        <v>78</v>
      </c>
      <c r="B52" s="5">
        <v>45740</v>
      </c>
      <c r="C52" s="6" t="s">
        <v>23</v>
      </c>
      <c r="D52" s="6" t="s">
        <v>34</v>
      </c>
      <c r="E52" s="6" t="s">
        <v>35</v>
      </c>
      <c r="F52" s="6">
        <v>4</v>
      </c>
      <c r="G52" s="6">
        <v>60</v>
      </c>
      <c r="H52" s="6">
        <v>240</v>
      </c>
      <c r="I52" s="7" t="s">
        <v>13</v>
      </c>
    </row>
    <row r="53" spans="1:9" x14ac:dyDescent="0.25">
      <c r="A53" s="4" t="s">
        <v>79</v>
      </c>
      <c r="B53" s="5">
        <v>45686</v>
      </c>
      <c r="C53" s="6" t="s">
        <v>28</v>
      </c>
      <c r="D53" s="6" t="s">
        <v>40</v>
      </c>
      <c r="E53" s="6" t="s">
        <v>35</v>
      </c>
      <c r="F53" s="6">
        <v>3</v>
      </c>
      <c r="G53" s="6">
        <v>180</v>
      </c>
      <c r="H53" s="6">
        <v>540</v>
      </c>
      <c r="I53" s="7" t="s">
        <v>21</v>
      </c>
    </row>
    <row r="54" spans="1:9" x14ac:dyDescent="0.25">
      <c r="A54" s="4" t="s">
        <v>80</v>
      </c>
      <c r="B54" s="5">
        <v>45693</v>
      </c>
      <c r="C54" s="6" t="s">
        <v>15</v>
      </c>
      <c r="D54" s="6" t="s">
        <v>34</v>
      </c>
      <c r="E54" s="6" t="s">
        <v>35</v>
      </c>
      <c r="F54" s="6">
        <v>1</v>
      </c>
      <c r="G54" s="6">
        <v>60</v>
      </c>
      <c r="H54" s="6">
        <v>60</v>
      </c>
      <c r="I54" s="7" t="s">
        <v>17</v>
      </c>
    </row>
    <row r="55" spans="1:9" x14ac:dyDescent="0.25">
      <c r="A55" s="4" t="s">
        <v>81</v>
      </c>
      <c r="B55" s="5">
        <v>45732</v>
      </c>
      <c r="C55" s="6" t="s">
        <v>10</v>
      </c>
      <c r="D55" s="6" t="s">
        <v>26</v>
      </c>
      <c r="E55" s="6" t="s">
        <v>12</v>
      </c>
      <c r="F55" s="6">
        <v>2</v>
      </c>
      <c r="G55" s="6">
        <v>1800</v>
      </c>
      <c r="H55" s="6">
        <v>3600</v>
      </c>
      <c r="I55" s="7" t="s">
        <v>13</v>
      </c>
    </row>
    <row r="56" spans="1:9" x14ac:dyDescent="0.25">
      <c r="A56" s="4" t="s">
        <v>82</v>
      </c>
      <c r="B56" s="5">
        <v>45703</v>
      </c>
      <c r="C56" s="6" t="s">
        <v>10</v>
      </c>
      <c r="D56" s="6" t="s">
        <v>29</v>
      </c>
      <c r="E56" s="6" t="s">
        <v>30</v>
      </c>
      <c r="F56" s="6">
        <v>3</v>
      </c>
      <c r="G56" s="6">
        <v>40</v>
      </c>
      <c r="H56" s="6">
        <v>120</v>
      </c>
      <c r="I56" s="7" t="s">
        <v>13</v>
      </c>
    </row>
    <row r="57" spans="1:9" x14ac:dyDescent="0.25">
      <c r="A57" s="4" t="s">
        <v>83</v>
      </c>
      <c r="B57" s="5">
        <v>45712</v>
      </c>
      <c r="C57" s="6" t="s">
        <v>28</v>
      </c>
      <c r="D57" s="6" t="s">
        <v>16</v>
      </c>
      <c r="E57" s="6" t="s">
        <v>12</v>
      </c>
      <c r="F57" s="6">
        <v>4</v>
      </c>
      <c r="G57" s="6">
        <v>1200</v>
      </c>
      <c r="H57" s="6">
        <v>4800</v>
      </c>
      <c r="I57" s="7" t="s">
        <v>21</v>
      </c>
    </row>
    <row r="58" spans="1:9" x14ac:dyDescent="0.25">
      <c r="A58" s="4" t="s">
        <v>84</v>
      </c>
      <c r="B58" s="5">
        <v>45658</v>
      </c>
      <c r="C58" s="6" t="s">
        <v>15</v>
      </c>
      <c r="D58" s="6" t="s">
        <v>19</v>
      </c>
      <c r="E58" s="6" t="s">
        <v>20</v>
      </c>
      <c r="F58" s="6">
        <v>1</v>
      </c>
      <c r="G58" s="6">
        <v>1200</v>
      </c>
      <c r="H58" s="6">
        <v>1200</v>
      </c>
      <c r="I58" s="7" t="s">
        <v>21</v>
      </c>
    </row>
    <row r="59" spans="1:9" x14ac:dyDescent="0.25">
      <c r="A59" s="4" t="s">
        <v>85</v>
      </c>
      <c r="B59" s="5">
        <v>45672</v>
      </c>
      <c r="C59" s="6" t="s">
        <v>15</v>
      </c>
      <c r="D59" s="6" t="s">
        <v>32</v>
      </c>
      <c r="E59" s="6" t="s">
        <v>20</v>
      </c>
      <c r="F59" s="6">
        <v>3</v>
      </c>
      <c r="G59" s="6">
        <v>2500</v>
      </c>
      <c r="H59" s="6">
        <v>7500</v>
      </c>
      <c r="I59" s="7" t="s">
        <v>17</v>
      </c>
    </row>
    <row r="60" spans="1:9" x14ac:dyDescent="0.25">
      <c r="A60" s="4" t="s">
        <v>86</v>
      </c>
      <c r="B60" s="5">
        <v>45735</v>
      </c>
      <c r="C60" s="6" t="s">
        <v>23</v>
      </c>
      <c r="D60" s="6" t="s">
        <v>26</v>
      </c>
      <c r="E60" s="6" t="s">
        <v>12</v>
      </c>
      <c r="F60" s="6">
        <v>1</v>
      </c>
      <c r="G60" s="6">
        <v>1800</v>
      </c>
      <c r="H60" s="6">
        <v>1800</v>
      </c>
      <c r="I60" s="7" t="s">
        <v>21</v>
      </c>
    </row>
    <row r="61" spans="1:9" x14ac:dyDescent="0.25">
      <c r="A61" s="4" t="s">
        <v>87</v>
      </c>
      <c r="B61" s="5">
        <v>45675</v>
      </c>
      <c r="C61" s="6" t="s">
        <v>15</v>
      </c>
      <c r="D61" s="6" t="s">
        <v>29</v>
      </c>
      <c r="E61" s="6" t="s">
        <v>30</v>
      </c>
      <c r="F61" s="6">
        <v>4</v>
      </c>
      <c r="G61" s="6">
        <v>40</v>
      </c>
      <c r="H61" s="6">
        <v>160</v>
      </c>
      <c r="I61" s="7" t="s">
        <v>21</v>
      </c>
    </row>
    <row r="62" spans="1:9" x14ac:dyDescent="0.25">
      <c r="A62" s="4" t="s">
        <v>88</v>
      </c>
      <c r="B62" s="5">
        <v>45675</v>
      </c>
      <c r="C62" s="6" t="s">
        <v>15</v>
      </c>
      <c r="D62" s="6" t="s">
        <v>32</v>
      </c>
      <c r="E62" s="6" t="s">
        <v>20</v>
      </c>
      <c r="F62" s="6">
        <v>4</v>
      </c>
      <c r="G62" s="6">
        <v>2500</v>
      </c>
      <c r="H62" s="6">
        <v>10000</v>
      </c>
      <c r="I62" s="7" t="s">
        <v>17</v>
      </c>
    </row>
    <row r="63" spans="1:9" x14ac:dyDescent="0.25">
      <c r="A63" s="4" t="s">
        <v>89</v>
      </c>
      <c r="B63" s="5">
        <v>45712</v>
      </c>
      <c r="C63" s="6" t="s">
        <v>10</v>
      </c>
      <c r="D63" s="6" t="s">
        <v>11</v>
      </c>
      <c r="E63" s="6" t="s">
        <v>12</v>
      </c>
      <c r="F63" s="6">
        <v>4</v>
      </c>
      <c r="G63" s="6">
        <v>3500</v>
      </c>
      <c r="H63" s="6">
        <v>14000</v>
      </c>
      <c r="I63" s="7" t="s">
        <v>21</v>
      </c>
    </row>
    <row r="64" spans="1:9" x14ac:dyDescent="0.25">
      <c r="A64" s="4" t="s">
        <v>90</v>
      </c>
      <c r="B64" s="5">
        <v>45710</v>
      </c>
      <c r="C64" s="6" t="s">
        <v>23</v>
      </c>
      <c r="D64" s="6" t="s">
        <v>34</v>
      </c>
      <c r="E64" s="6" t="s">
        <v>35</v>
      </c>
      <c r="F64" s="6">
        <v>1</v>
      </c>
      <c r="G64" s="6">
        <v>60</v>
      </c>
      <c r="H64" s="6">
        <v>60</v>
      </c>
      <c r="I64" s="7" t="s">
        <v>13</v>
      </c>
    </row>
    <row r="65" spans="1:9" x14ac:dyDescent="0.25">
      <c r="A65" s="4" t="s">
        <v>91</v>
      </c>
      <c r="B65" s="5">
        <v>45711</v>
      </c>
      <c r="C65" s="6" t="s">
        <v>23</v>
      </c>
      <c r="D65" s="6" t="s">
        <v>34</v>
      </c>
      <c r="E65" s="6" t="s">
        <v>35</v>
      </c>
      <c r="F65" s="6">
        <v>2</v>
      </c>
      <c r="G65" s="6">
        <v>60</v>
      </c>
      <c r="H65" s="6">
        <v>120</v>
      </c>
      <c r="I65" s="7" t="s">
        <v>17</v>
      </c>
    </row>
    <row r="66" spans="1:9" x14ac:dyDescent="0.25">
      <c r="A66" s="4" t="s">
        <v>92</v>
      </c>
      <c r="B66" s="5">
        <v>45658</v>
      </c>
      <c r="C66" s="6" t="s">
        <v>23</v>
      </c>
      <c r="D66" s="6" t="s">
        <v>19</v>
      </c>
      <c r="E66" s="6" t="s">
        <v>20</v>
      </c>
      <c r="F66" s="6">
        <v>1</v>
      </c>
      <c r="G66" s="6">
        <v>1200</v>
      </c>
      <c r="H66" s="6">
        <v>1200</v>
      </c>
      <c r="I66" s="7" t="s">
        <v>13</v>
      </c>
    </row>
    <row r="67" spans="1:9" x14ac:dyDescent="0.25">
      <c r="A67" s="4" t="s">
        <v>93</v>
      </c>
      <c r="B67" s="5">
        <v>45694</v>
      </c>
      <c r="C67" s="6" t="s">
        <v>10</v>
      </c>
      <c r="D67" s="6" t="s">
        <v>40</v>
      </c>
      <c r="E67" s="6" t="s">
        <v>35</v>
      </c>
      <c r="F67" s="6">
        <v>4</v>
      </c>
      <c r="G67" s="6">
        <v>180</v>
      </c>
      <c r="H67" s="6">
        <v>720</v>
      </c>
      <c r="I67" s="7" t="s">
        <v>13</v>
      </c>
    </row>
    <row r="68" spans="1:9" x14ac:dyDescent="0.25">
      <c r="A68" s="4" t="s">
        <v>94</v>
      </c>
      <c r="B68" s="5">
        <v>45711</v>
      </c>
      <c r="C68" s="6" t="s">
        <v>28</v>
      </c>
      <c r="D68" s="6" t="s">
        <v>29</v>
      </c>
      <c r="E68" s="6" t="s">
        <v>30</v>
      </c>
      <c r="F68" s="6">
        <v>2</v>
      </c>
      <c r="G68" s="6">
        <v>40</v>
      </c>
      <c r="H68" s="6">
        <v>80</v>
      </c>
      <c r="I68" s="7" t="s">
        <v>17</v>
      </c>
    </row>
    <row r="69" spans="1:9" x14ac:dyDescent="0.25">
      <c r="A69" s="4" t="s">
        <v>95</v>
      </c>
      <c r="B69" s="5">
        <v>45660</v>
      </c>
      <c r="C69" s="6" t="s">
        <v>28</v>
      </c>
      <c r="D69" s="6" t="s">
        <v>40</v>
      </c>
      <c r="E69" s="6" t="s">
        <v>35</v>
      </c>
      <c r="F69" s="6">
        <v>2</v>
      </c>
      <c r="G69" s="6">
        <v>180</v>
      </c>
      <c r="H69" s="6">
        <v>360</v>
      </c>
      <c r="I69" s="7" t="s">
        <v>13</v>
      </c>
    </row>
    <row r="70" spans="1:9" x14ac:dyDescent="0.25">
      <c r="A70" s="4" t="s">
        <v>96</v>
      </c>
      <c r="B70" s="5">
        <v>45704</v>
      </c>
      <c r="C70" s="6" t="s">
        <v>10</v>
      </c>
      <c r="D70" s="6" t="s">
        <v>11</v>
      </c>
      <c r="E70" s="6" t="s">
        <v>12</v>
      </c>
      <c r="F70" s="6">
        <v>4</v>
      </c>
      <c r="G70" s="6">
        <v>3500</v>
      </c>
      <c r="H70" s="6">
        <v>14000</v>
      </c>
      <c r="I70" s="7" t="s">
        <v>13</v>
      </c>
    </row>
    <row r="71" spans="1:9" x14ac:dyDescent="0.25">
      <c r="A71" s="4" t="s">
        <v>97</v>
      </c>
      <c r="B71" s="5">
        <v>45723</v>
      </c>
      <c r="C71" s="6" t="s">
        <v>28</v>
      </c>
      <c r="D71" s="6" t="s">
        <v>40</v>
      </c>
      <c r="E71" s="6" t="s">
        <v>35</v>
      </c>
      <c r="F71" s="6">
        <v>1</v>
      </c>
      <c r="G71" s="6">
        <v>180</v>
      </c>
      <c r="H71" s="6">
        <v>180</v>
      </c>
      <c r="I71" s="7" t="s">
        <v>17</v>
      </c>
    </row>
    <row r="72" spans="1:9" x14ac:dyDescent="0.25">
      <c r="A72" s="4" t="s">
        <v>98</v>
      </c>
      <c r="B72" s="5">
        <v>45691</v>
      </c>
      <c r="C72" s="6" t="s">
        <v>10</v>
      </c>
      <c r="D72" s="6" t="s">
        <v>34</v>
      </c>
      <c r="E72" s="6" t="s">
        <v>35</v>
      </c>
      <c r="F72" s="6">
        <v>5</v>
      </c>
      <c r="G72" s="6">
        <v>60</v>
      </c>
      <c r="H72" s="6">
        <v>300</v>
      </c>
      <c r="I72" s="7" t="s">
        <v>17</v>
      </c>
    </row>
    <row r="73" spans="1:9" x14ac:dyDescent="0.25">
      <c r="A73" s="4" t="s">
        <v>99</v>
      </c>
      <c r="B73" s="5">
        <v>45658</v>
      </c>
      <c r="C73" s="6" t="s">
        <v>15</v>
      </c>
      <c r="D73" s="6" t="s">
        <v>19</v>
      </c>
      <c r="E73" s="6" t="s">
        <v>20</v>
      </c>
      <c r="F73" s="6">
        <v>4</v>
      </c>
      <c r="G73" s="6">
        <v>1200</v>
      </c>
      <c r="H73" s="6">
        <v>4800</v>
      </c>
      <c r="I73" s="7" t="s">
        <v>21</v>
      </c>
    </row>
    <row r="74" spans="1:9" x14ac:dyDescent="0.25">
      <c r="A74" s="4" t="s">
        <v>100</v>
      </c>
      <c r="B74" s="5">
        <v>45691</v>
      </c>
      <c r="C74" s="6" t="s">
        <v>10</v>
      </c>
      <c r="D74" s="6" t="s">
        <v>34</v>
      </c>
      <c r="E74" s="6" t="s">
        <v>35</v>
      </c>
      <c r="F74" s="6">
        <v>3</v>
      </c>
      <c r="G74" s="6">
        <v>60</v>
      </c>
      <c r="H74" s="6">
        <v>180</v>
      </c>
      <c r="I74" s="7" t="s">
        <v>21</v>
      </c>
    </row>
    <row r="75" spans="1:9" x14ac:dyDescent="0.25">
      <c r="A75" s="4" t="s">
        <v>101</v>
      </c>
      <c r="B75" s="5">
        <v>45700</v>
      </c>
      <c r="C75" s="6" t="s">
        <v>28</v>
      </c>
      <c r="D75" s="6" t="s">
        <v>34</v>
      </c>
      <c r="E75" s="6" t="s">
        <v>35</v>
      </c>
      <c r="F75" s="6">
        <v>1</v>
      </c>
      <c r="G75" s="6">
        <v>60</v>
      </c>
      <c r="H75" s="6">
        <v>60</v>
      </c>
      <c r="I75" s="7" t="s">
        <v>21</v>
      </c>
    </row>
    <row r="76" spans="1:9" x14ac:dyDescent="0.25">
      <c r="A76" s="4" t="s">
        <v>102</v>
      </c>
      <c r="B76" s="5">
        <v>45682</v>
      </c>
      <c r="C76" s="6" t="s">
        <v>10</v>
      </c>
      <c r="D76" s="6" t="s">
        <v>34</v>
      </c>
      <c r="E76" s="6" t="s">
        <v>35</v>
      </c>
      <c r="F76" s="6">
        <v>4</v>
      </c>
      <c r="G76" s="6">
        <v>60</v>
      </c>
      <c r="H76" s="6">
        <v>240</v>
      </c>
      <c r="I76" s="7" t="s">
        <v>17</v>
      </c>
    </row>
    <row r="77" spans="1:9" x14ac:dyDescent="0.25">
      <c r="A77" s="4" t="s">
        <v>103</v>
      </c>
      <c r="B77" s="5">
        <v>45729</v>
      </c>
      <c r="C77" s="6" t="s">
        <v>28</v>
      </c>
      <c r="D77" s="6" t="s">
        <v>11</v>
      </c>
      <c r="E77" s="6" t="s">
        <v>12</v>
      </c>
      <c r="F77" s="6">
        <v>1</v>
      </c>
      <c r="G77" s="6">
        <v>3500</v>
      </c>
      <c r="H77" s="6">
        <v>3500</v>
      </c>
      <c r="I77" s="7" t="s">
        <v>13</v>
      </c>
    </row>
    <row r="78" spans="1:9" x14ac:dyDescent="0.25">
      <c r="A78" s="4" t="s">
        <v>104</v>
      </c>
      <c r="B78" s="5">
        <v>45694</v>
      </c>
      <c r="C78" s="6" t="s">
        <v>15</v>
      </c>
      <c r="D78" s="6" t="s">
        <v>40</v>
      </c>
      <c r="E78" s="6" t="s">
        <v>35</v>
      </c>
      <c r="F78" s="6">
        <v>5</v>
      </c>
      <c r="G78" s="6">
        <v>180</v>
      </c>
      <c r="H78" s="6">
        <v>900</v>
      </c>
      <c r="I78" s="7" t="s">
        <v>13</v>
      </c>
    </row>
    <row r="79" spans="1:9" x14ac:dyDescent="0.25">
      <c r="A79" s="4" t="s">
        <v>105</v>
      </c>
      <c r="B79" s="5">
        <v>45726</v>
      </c>
      <c r="C79" s="6" t="s">
        <v>15</v>
      </c>
      <c r="D79" s="6" t="s">
        <v>19</v>
      </c>
      <c r="E79" s="6" t="s">
        <v>20</v>
      </c>
      <c r="F79" s="6">
        <v>3</v>
      </c>
      <c r="G79" s="6">
        <v>1200</v>
      </c>
      <c r="H79" s="6">
        <v>3600</v>
      </c>
      <c r="I79" s="7" t="s">
        <v>21</v>
      </c>
    </row>
    <row r="80" spans="1:9" x14ac:dyDescent="0.25">
      <c r="A80" s="4" t="s">
        <v>106</v>
      </c>
      <c r="B80" s="5">
        <v>45740</v>
      </c>
      <c r="C80" s="6" t="s">
        <v>10</v>
      </c>
      <c r="D80" s="6" t="s">
        <v>32</v>
      </c>
      <c r="E80" s="6" t="s">
        <v>20</v>
      </c>
      <c r="F80" s="6">
        <v>5</v>
      </c>
      <c r="G80" s="6">
        <v>2500</v>
      </c>
      <c r="H80" s="6">
        <v>12500</v>
      </c>
      <c r="I80" s="7" t="s">
        <v>21</v>
      </c>
    </row>
    <row r="81" spans="1:9" x14ac:dyDescent="0.25">
      <c r="A81" s="4" t="s">
        <v>107</v>
      </c>
      <c r="B81" s="5">
        <v>45660</v>
      </c>
      <c r="C81" s="6" t="s">
        <v>10</v>
      </c>
      <c r="D81" s="6" t="s">
        <v>40</v>
      </c>
      <c r="E81" s="6" t="s">
        <v>35</v>
      </c>
      <c r="F81" s="6">
        <v>1</v>
      </c>
      <c r="G81" s="6">
        <v>180</v>
      </c>
      <c r="H81" s="6">
        <v>180</v>
      </c>
      <c r="I81" s="7" t="s">
        <v>17</v>
      </c>
    </row>
    <row r="82" spans="1:9" x14ac:dyDescent="0.25">
      <c r="A82" s="4" t="s">
        <v>108</v>
      </c>
      <c r="B82" s="5">
        <v>45664</v>
      </c>
      <c r="C82" s="6" t="s">
        <v>28</v>
      </c>
      <c r="D82" s="6" t="s">
        <v>40</v>
      </c>
      <c r="E82" s="6" t="s">
        <v>35</v>
      </c>
      <c r="F82" s="6">
        <v>1</v>
      </c>
      <c r="G82" s="6">
        <v>180</v>
      </c>
      <c r="H82" s="6">
        <v>180</v>
      </c>
      <c r="I82" s="7" t="s">
        <v>21</v>
      </c>
    </row>
    <row r="83" spans="1:9" x14ac:dyDescent="0.25">
      <c r="A83" s="4" t="s">
        <v>109</v>
      </c>
      <c r="B83" s="5">
        <v>45719</v>
      </c>
      <c r="C83" s="6" t="s">
        <v>28</v>
      </c>
      <c r="D83" s="6" t="s">
        <v>40</v>
      </c>
      <c r="E83" s="6" t="s">
        <v>35</v>
      </c>
      <c r="F83" s="6">
        <v>2</v>
      </c>
      <c r="G83" s="6">
        <v>180</v>
      </c>
      <c r="H83" s="6">
        <v>360</v>
      </c>
      <c r="I83" s="7" t="s">
        <v>17</v>
      </c>
    </row>
    <row r="84" spans="1:9" x14ac:dyDescent="0.25">
      <c r="A84" s="4" t="s">
        <v>110</v>
      </c>
      <c r="B84" s="5">
        <v>45667</v>
      </c>
      <c r="C84" s="6" t="s">
        <v>23</v>
      </c>
      <c r="D84" s="6" t="s">
        <v>11</v>
      </c>
      <c r="E84" s="6" t="s">
        <v>12</v>
      </c>
      <c r="F84" s="6">
        <v>2</v>
      </c>
      <c r="G84" s="6">
        <v>3500</v>
      </c>
      <c r="H84" s="6">
        <v>7000</v>
      </c>
      <c r="I84" s="7" t="s">
        <v>17</v>
      </c>
    </row>
    <row r="85" spans="1:9" x14ac:dyDescent="0.25">
      <c r="A85" s="4" t="s">
        <v>111</v>
      </c>
      <c r="B85" s="5">
        <v>45696</v>
      </c>
      <c r="C85" s="6" t="s">
        <v>23</v>
      </c>
      <c r="D85" s="6" t="s">
        <v>32</v>
      </c>
      <c r="E85" s="6" t="s">
        <v>20</v>
      </c>
      <c r="F85" s="6">
        <v>2</v>
      </c>
      <c r="G85" s="6">
        <v>2500</v>
      </c>
      <c r="H85" s="6">
        <v>5000</v>
      </c>
      <c r="I85" s="7" t="s">
        <v>21</v>
      </c>
    </row>
    <row r="86" spans="1:9" x14ac:dyDescent="0.25">
      <c r="A86" s="4" t="s">
        <v>112</v>
      </c>
      <c r="B86" s="5">
        <v>45681</v>
      </c>
      <c r="C86" s="6" t="s">
        <v>23</v>
      </c>
      <c r="D86" s="6" t="s">
        <v>40</v>
      </c>
      <c r="E86" s="6" t="s">
        <v>35</v>
      </c>
      <c r="F86" s="6">
        <v>5</v>
      </c>
      <c r="G86" s="6">
        <v>180</v>
      </c>
      <c r="H86" s="6">
        <v>900</v>
      </c>
      <c r="I86" s="7" t="s">
        <v>17</v>
      </c>
    </row>
    <row r="87" spans="1:9" x14ac:dyDescent="0.25">
      <c r="A87" s="4" t="s">
        <v>113</v>
      </c>
      <c r="B87" s="5">
        <v>45740</v>
      </c>
      <c r="C87" s="6" t="s">
        <v>10</v>
      </c>
      <c r="D87" s="6" t="s">
        <v>26</v>
      </c>
      <c r="E87" s="6" t="s">
        <v>12</v>
      </c>
      <c r="F87" s="6">
        <v>4</v>
      </c>
      <c r="G87" s="6">
        <v>1800</v>
      </c>
      <c r="H87" s="6">
        <v>7200</v>
      </c>
      <c r="I87" s="7" t="s">
        <v>21</v>
      </c>
    </row>
    <row r="88" spans="1:9" x14ac:dyDescent="0.25">
      <c r="A88" s="4" t="s">
        <v>114</v>
      </c>
      <c r="B88" s="5">
        <v>45694</v>
      </c>
      <c r="C88" s="6" t="s">
        <v>23</v>
      </c>
      <c r="D88" s="6" t="s">
        <v>40</v>
      </c>
      <c r="E88" s="6" t="s">
        <v>35</v>
      </c>
      <c r="F88" s="6">
        <v>2</v>
      </c>
      <c r="G88" s="6">
        <v>180</v>
      </c>
      <c r="H88" s="6">
        <v>360</v>
      </c>
      <c r="I88" s="7" t="s">
        <v>21</v>
      </c>
    </row>
    <row r="89" spans="1:9" x14ac:dyDescent="0.25">
      <c r="A89" s="4" t="s">
        <v>115</v>
      </c>
      <c r="B89" s="5">
        <v>45678</v>
      </c>
      <c r="C89" s="6" t="s">
        <v>23</v>
      </c>
      <c r="D89" s="6" t="s">
        <v>16</v>
      </c>
      <c r="E89" s="6" t="s">
        <v>12</v>
      </c>
      <c r="F89" s="6">
        <v>5</v>
      </c>
      <c r="G89" s="6">
        <v>1200</v>
      </c>
      <c r="H89" s="6">
        <v>6000</v>
      </c>
      <c r="I89" s="7" t="s">
        <v>17</v>
      </c>
    </row>
    <row r="90" spans="1:9" x14ac:dyDescent="0.25">
      <c r="A90" s="4" t="s">
        <v>116</v>
      </c>
      <c r="B90" s="5">
        <v>45744</v>
      </c>
      <c r="C90" s="6" t="s">
        <v>15</v>
      </c>
      <c r="D90" s="6" t="s">
        <v>29</v>
      </c>
      <c r="E90" s="6" t="s">
        <v>30</v>
      </c>
      <c r="F90" s="6">
        <v>3</v>
      </c>
      <c r="G90" s="6">
        <v>40</v>
      </c>
      <c r="H90" s="6">
        <v>120</v>
      </c>
      <c r="I90" s="7" t="s">
        <v>17</v>
      </c>
    </row>
    <row r="91" spans="1:9" x14ac:dyDescent="0.25">
      <c r="A91" s="4" t="s">
        <v>117</v>
      </c>
      <c r="B91" s="5">
        <v>45706</v>
      </c>
      <c r="C91" s="6" t="s">
        <v>28</v>
      </c>
      <c r="D91" s="6" t="s">
        <v>40</v>
      </c>
      <c r="E91" s="6" t="s">
        <v>35</v>
      </c>
      <c r="F91" s="6">
        <v>3</v>
      </c>
      <c r="G91" s="6">
        <v>180</v>
      </c>
      <c r="H91" s="6">
        <v>540</v>
      </c>
      <c r="I91" s="7" t="s">
        <v>21</v>
      </c>
    </row>
    <row r="92" spans="1:9" x14ac:dyDescent="0.25">
      <c r="A92" s="4" t="s">
        <v>118</v>
      </c>
      <c r="B92" s="5">
        <v>45696</v>
      </c>
      <c r="C92" s="6" t="s">
        <v>15</v>
      </c>
      <c r="D92" s="6" t="s">
        <v>40</v>
      </c>
      <c r="E92" s="6" t="s">
        <v>35</v>
      </c>
      <c r="F92" s="6">
        <v>3</v>
      </c>
      <c r="G92" s="6">
        <v>180</v>
      </c>
      <c r="H92" s="6">
        <v>540</v>
      </c>
      <c r="I92" s="7" t="s">
        <v>13</v>
      </c>
    </row>
    <row r="93" spans="1:9" x14ac:dyDescent="0.25">
      <c r="A93" s="4" t="s">
        <v>119</v>
      </c>
      <c r="B93" s="5">
        <v>45680</v>
      </c>
      <c r="C93" s="6" t="s">
        <v>10</v>
      </c>
      <c r="D93" s="6" t="s">
        <v>29</v>
      </c>
      <c r="E93" s="6" t="s">
        <v>30</v>
      </c>
      <c r="F93" s="6">
        <v>4</v>
      </c>
      <c r="G93" s="6">
        <v>40</v>
      </c>
      <c r="H93" s="6">
        <v>160</v>
      </c>
      <c r="I93" s="7" t="s">
        <v>21</v>
      </c>
    </row>
    <row r="94" spans="1:9" x14ac:dyDescent="0.25">
      <c r="A94" s="4" t="s">
        <v>120</v>
      </c>
      <c r="B94" s="5">
        <v>45701</v>
      </c>
      <c r="C94" s="6" t="s">
        <v>15</v>
      </c>
      <c r="D94" s="6" t="s">
        <v>11</v>
      </c>
      <c r="E94" s="6" t="s">
        <v>12</v>
      </c>
      <c r="F94" s="6">
        <v>2</v>
      </c>
      <c r="G94" s="6">
        <v>3500</v>
      </c>
      <c r="H94" s="6">
        <v>7000</v>
      </c>
      <c r="I94" s="7" t="s">
        <v>21</v>
      </c>
    </row>
    <row r="95" spans="1:9" x14ac:dyDescent="0.25">
      <c r="A95" s="4" t="s">
        <v>121</v>
      </c>
      <c r="B95" s="5">
        <v>45687</v>
      </c>
      <c r="C95" s="6" t="s">
        <v>10</v>
      </c>
      <c r="D95" s="6" t="s">
        <v>19</v>
      </c>
      <c r="E95" s="6" t="s">
        <v>20</v>
      </c>
      <c r="F95" s="6">
        <v>2</v>
      </c>
      <c r="G95" s="6">
        <v>1200</v>
      </c>
      <c r="H95" s="6">
        <v>2400</v>
      </c>
      <c r="I95" s="7" t="s">
        <v>21</v>
      </c>
    </row>
    <row r="96" spans="1:9" x14ac:dyDescent="0.25">
      <c r="A96" s="4" t="s">
        <v>122</v>
      </c>
      <c r="B96" s="5">
        <v>45687</v>
      </c>
      <c r="C96" s="6" t="s">
        <v>10</v>
      </c>
      <c r="D96" s="6" t="s">
        <v>16</v>
      </c>
      <c r="E96" s="6" t="s">
        <v>12</v>
      </c>
      <c r="F96" s="6">
        <v>3</v>
      </c>
      <c r="G96" s="6">
        <v>1200</v>
      </c>
      <c r="H96" s="6">
        <v>3600</v>
      </c>
      <c r="I96" s="7" t="s">
        <v>13</v>
      </c>
    </row>
    <row r="97" spans="1:9" x14ac:dyDescent="0.25">
      <c r="A97" s="4" t="s">
        <v>123</v>
      </c>
      <c r="B97" s="5">
        <v>45734</v>
      </c>
      <c r="C97" s="6" t="s">
        <v>28</v>
      </c>
      <c r="D97" s="6" t="s">
        <v>32</v>
      </c>
      <c r="E97" s="6" t="s">
        <v>20</v>
      </c>
      <c r="F97" s="6">
        <v>3</v>
      </c>
      <c r="G97" s="6">
        <v>2500</v>
      </c>
      <c r="H97" s="6">
        <v>7500</v>
      </c>
      <c r="I97" s="7" t="s">
        <v>13</v>
      </c>
    </row>
    <row r="98" spans="1:9" x14ac:dyDescent="0.25">
      <c r="A98" s="4" t="s">
        <v>124</v>
      </c>
      <c r="B98" s="5">
        <v>45706</v>
      </c>
      <c r="C98" s="6" t="s">
        <v>10</v>
      </c>
      <c r="D98" s="6" t="s">
        <v>16</v>
      </c>
      <c r="E98" s="6" t="s">
        <v>12</v>
      </c>
      <c r="F98" s="6">
        <v>3</v>
      </c>
      <c r="G98" s="6">
        <v>1200</v>
      </c>
      <c r="H98" s="6">
        <v>3600</v>
      </c>
      <c r="I98" s="7" t="s">
        <v>21</v>
      </c>
    </row>
    <row r="99" spans="1:9" x14ac:dyDescent="0.25">
      <c r="A99" s="4" t="s">
        <v>125</v>
      </c>
      <c r="B99" s="5">
        <v>45715</v>
      </c>
      <c r="C99" s="6" t="s">
        <v>15</v>
      </c>
      <c r="D99" s="6" t="s">
        <v>40</v>
      </c>
      <c r="E99" s="6" t="s">
        <v>35</v>
      </c>
      <c r="F99" s="6">
        <v>5</v>
      </c>
      <c r="G99" s="6">
        <v>180</v>
      </c>
      <c r="H99" s="6">
        <v>900</v>
      </c>
      <c r="I99" s="7" t="s">
        <v>13</v>
      </c>
    </row>
    <row r="100" spans="1:9" x14ac:dyDescent="0.25">
      <c r="A100" s="4" t="s">
        <v>126</v>
      </c>
      <c r="B100" s="5">
        <v>45742</v>
      </c>
      <c r="C100" s="6" t="s">
        <v>23</v>
      </c>
      <c r="D100" s="6" t="s">
        <v>19</v>
      </c>
      <c r="E100" s="6" t="s">
        <v>20</v>
      </c>
      <c r="F100" s="6">
        <v>1</v>
      </c>
      <c r="G100" s="6">
        <v>1200</v>
      </c>
      <c r="H100" s="6">
        <v>1200</v>
      </c>
      <c r="I100" s="7" t="s">
        <v>13</v>
      </c>
    </row>
    <row r="101" spans="1:9" x14ac:dyDescent="0.25">
      <c r="A101" s="4" t="s">
        <v>127</v>
      </c>
      <c r="B101" s="5">
        <v>45729</v>
      </c>
      <c r="C101" s="6" t="s">
        <v>23</v>
      </c>
      <c r="D101" s="6" t="s">
        <v>16</v>
      </c>
      <c r="E101" s="6" t="s">
        <v>12</v>
      </c>
      <c r="F101" s="6">
        <v>2</v>
      </c>
      <c r="G101" s="6">
        <v>1200</v>
      </c>
      <c r="H101" s="6">
        <v>2400</v>
      </c>
      <c r="I101" s="7" t="s">
        <v>17</v>
      </c>
    </row>
    <row r="102" spans="1:9" x14ac:dyDescent="0.25">
      <c r="A102" s="4" t="s">
        <v>128</v>
      </c>
      <c r="B102" s="5">
        <v>45718</v>
      </c>
      <c r="C102" s="6" t="s">
        <v>10</v>
      </c>
      <c r="D102" s="6" t="s">
        <v>26</v>
      </c>
      <c r="E102" s="6" t="s">
        <v>12</v>
      </c>
      <c r="F102" s="6">
        <v>2</v>
      </c>
      <c r="G102" s="6">
        <v>1800</v>
      </c>
      <c r="H102" s="6">
        <v>3600</v>
      </c>
      <c r="I102" s="7" t="s">
        <v>13</v>
      </c>
    </row>
    <row r="103" spans="1:9" x14ac:dyDescent="0.25">
      <c r="A103" s="4" t="s">
        <v>129</v>
      </c>
      <c r="B103" s="5">
        <v>45685</v>
      </c>
      <c r="C103" s="6" t="s">
        <v>28</v>
      </c>
      <c r="D103" s="6" t="s">
        <v>32</v>
      </c>
      <c r="E103" s="6" t="s">
        <v>20</v>
      </c>
      <c r="F103" s="6">
        <v>3</v>
      </c>
      <c r="G103" s="6">
        <v>2500</v>
      </c>
      <c r="H103" s="6">
        <v>7500</v>
      </c>
      <c r="I103" s="7" t="s">
        <v>13</v>
      </c>
    </row>
    <row r="104" spans="1:9" x14ac:dyDescent="0.25">
      <c r="A104" s="4" t="s">
        <v>130</v>
      </c>
      <c r="B104" s="5">
        <v>45685</v>
      </c>
      <c r="C104" s="6" t="s">
        <v>23</v>
      </c>
      <c r="D104" s="6" t="s">
        <v>34</v>
      </c>
      <c r="E104" s="6" t="s">
        <v>35</v>
      </c>
      <c r="F104" s="6">
        <v>4</v>
      </c>
      <c r="G104" s="6">
        <v>60</v>
      </c>
      <c r="H104" s="6">
        <v>240</v>
      </c>
      <c r="I104" s="7" t="s">
        <v>13</v>
      </c>
    </row>
    <row r="105" spans="1:9" x14ac:dyDescent="0.25">
      <c r="A105" s="4" t="s">
        <v>131</v>
      </c>
      <c r="B105" s="5">
        <v>45707</v>
      </c>
      <c r="C105" s="6" t="s">
        <v>23</v>
      </c>
      <c r="D105" s="6" t="s">
        <v>11</v>
      </c>
      <c r="E105" s="6" t="s">
        <v>12</v>
      </c>
      <c r="F105" s="6">
        <v>4</v>
      </c>
      <c r="G105" s="6">
        <v>3500</v>
      </c>
      <c r="H105" s="6">
        <v>14000</v>
      </c>
      <c r="I105" s="7" t="s">
        <v>21</v>
      </c>
    </row>
    <row r="106" spans="1:9" x14ac:dyDescent="0.25">
      <c r="A106" s="4" t="s">
        <v>132</v>
      </c>
      <c r="B106" s="5">
        <v>45733</v>
      </c>
      <c r="C106" s="6" t="s">
        <v>28</v>
      </c>
      <c r="D106" s="6" t="s">
        <v>16</v>
      </c>
      <c r="E106" s="6" t="s">
        <v>12</v>
      </c>
      <c r="F106" s="6">
        <v>5</v>
      </c>
      <c r="G106" s="6">
        <v>1200</v>
      </c>
      <c r="H106" s="6">
        <v>6000</v>
      </c>
      <c r="I106" s="7" t="s">
        <v>17</v>
      </c>
    </row>
    <row r="107" spans="1:9" x14ac:dyDescent="0.25">
      <c r="A107" s="4" t="s">
        <v>133</v>
      </c>
      <c r="B107" s="5">
        <v>45663</v>
      </c>
      <c r="C107" s="6" t="s">
        <v>15</v>
      </c>
      <c r="D107" s="6" t="s">
        <v>40</v>
      </c>
      <c r="E107" s="6" t="s">
        <v>35</v>
      </c>
      <c r="F107" s="6">
        <v>2</v>
      </c>
      <c r="G107" s="6">
        <v>180</v>
      </c>
      <c r="H107" s="6">
        <v>360</v>
      </c>
      <c r="I107" s="7" t="s">
        <v>21</v>
      </c>
    </row>
    <row r="108" spans="1:9" x14ac:dyDescent="0.25">
      <c r="A108" s="4" t="s">
        <v>134</v>
      </c>
      <c r="B108" s="5">
        <v>45676</v>
      </c>
      <c r="C108" s="6" t="s">
        <v>10</v>
      </c>
      <c r="D108" s="6" t="s">
        <v>34</v>
      </c>
      <c r="E108" s="6" t="s">
        <v>35</v>
      </c>
      <c r="F108" s="6">
        <v>4</v>
      </c>
      <c r="G108" s="6">
        <v>60</v>
      </c>
      <c r="H108" s="6">
        <v>240</v>
      </c>
      <c r="I108" s="7" t="s">
        <v>13</v>
      </c>
    </row>
    <row r="109" spans="1:9" x14ac:dyDescent="0.25">
      <c r="A109" s="4" t="s">
        <v>135</v>
      </c>
      <c r="B109" s="5">
        <v>45713</v>
      </c>
      <c r="C109" s="6" t="s">
        <v>28</v>
      </c>
      <c r="D109" s="6" t="s">
        <v>40</v>
      </c>
      <c r="E109" s="6" t="s">
        <v>35</v>
      </c>
      <c r="F109" s="6">
        <v>4</v>
      </c>
      <c r="G109" s="6">
        <v>180</v>
      </c>
      <c r="H109" s="6">
        <v>720</v>
      </c>
      <c r="I109" s="7" t="s">
        <v>17</v>
      </c>
    </row>
    <row r="110" spans="1:9" x14ac:dyDescent="0.25">
      <c r="A110" s="4" t="s">
        <v>136</v>
      </c>
      <c r="B110" s="5">
        <v>45720</v>
      </c>
      <c r="C110" s="6" t="s">
        <v>23</v>
      </c>
      <c r="D110" s="6" t="s">
        <v>26</v>
      </c>
      <c r="E110" s="6" t="s">
        <v>12</v>
      </c>
      <c r="F110" s="6">
        <v>2</v>
      </c>
      <c r="G110" s="6">
        <v>1800</v>
      </c>
      <c r="H110" s="6">
        <v>3600</v>
      </c>
      <c r="I110" s="7" t="s">
        <v>21</v>
      </c>
    </row>
    <row r="111" spans="1:9" x14ac:dyDescent="0.25">
      <c r="A111" s="4" t="s">
        <v>137</v>
      </c>
      <c r="B111" s="5">
        <v>45682</v>
      </c>
      <c r="C111" s="6" t="s">
        <v>10</v>
      </c>
      <c r="D111" s="6" t="s">
        <v>29</v>
      </c>
      <c r="E111" s="6" t="s">
        <v>30</v>
      </c>
      <c r="F111" s="6">
        <v>2</v>
      </c>
      <c r="G111" s="6">
        <v>40</v>
      </c>
      <c r="H111" s="6">
        <v>80</v>
      </c>
      <c r="I111" s="7" t="s">
        <v>21</v>
      </c>
    </row>
    <row r="112" spans="1:9" x14ac:dyDescent="0.25">
      <c r="A112" s="4" t="s">
        <v>138</v>
      </c>
      <c r="B112" s="5">
        <v>45724</v>
      </c>
      <c r="C112" s="6" t="s">
        <v>10</v>
      </c>
      <c r="D112" s="6" t="s">
        <v>26</v>
      </c>
      <c r="E112" s="6" t="s">
        <v>12</v>
      </c>
      <c r="F112" s="6">
        <v>4</v>
      </c>
      <c r="G112" s="6">
        <v>1800</v>
      </c>
      <c r="H112" s="6">
        <v>7200</v>
      </c>
      <c r="I112" s="7" t="s">
        <v>17</v>
      </c>
    </row>
    <row r="113" spans="1:9" x14ac:dyDescent="0.25">
      <c r="A113" s="4" t="s">
        <v>139</v>
      </c>
      <c r="B113" s="5">
        <v>45669</v>
      </c>
      <c r="C113" s="6" t="s">
        <v>10</v>
      </c>
      <c r="D113" s="6" t="s">
        <v>32</v>
      </c>
      <c r="E113" s="6" t="s">
        <v>20</v>
      </c>
      <c r="F113" s="6">
        <v>2</v>
      </c>
      <c r="G113" s="6">
        <v>2500</v>
      </c>
      <c r="H113" s="6">
        <v>5000</v>
      </c>
      <c r="I113" s="7" t="s">
        <v>13</v>
      </c>
    </row>
    <row r="114" spans="1:9" x14ac:dyDescent="0.25">
      <c r="A114" s="4" t="s">
        <v>140</v>
      </c>
      <c r="B114" s="5">
        <v>45665</v>
      </c>
      <c r="C114" s="6" t="s">
        <v>28</v>
      </c>
      <c r="D114" s="6" t="s">
        <v>34</v>
      </c>
      <c r="E114" s="6" t="s">
        <v>35</v>
      </c>
      <c r="F114" s="6">
        <v>3</v>
      </c>
      <c r="G114" s="6">
        <v>60</v>
      </c>
      <c r="H114" s="6">
        <v>180</v>
      </c>
      <c r="I114" s="7" t="s">
        <v>21</v>
      </c>
    </row>
    <row r="115" spans="1:9" x14ac:dyDescent="0.25">
      <c r="A115" s="4" t="s">
        <v>141</v>
      </c>
      <c r="B115" s="5">
        <v>45728</v>
      </c>
      <c r="C115" s="6" t="s">
        <v>10</v>
      </c>
      <c r="D115" s="6" t="s">
        <v>11</v>
      </c>
      <c r="E115" s="6" t="s">
        <v>12</v>
      </c>
      <c r="F115" s="6">
        <v>4</v>
      </c>
      <c r="G115" s="6">
        <v>3500</v>
      </c>
      <c r="H115" s="6">
        <v>14000</v>
      </c>
      <c r="I115" s="7" t="s">
        <v>13</v>
      </c>
    </row>
    <row r="116" spans="1:9" x14ac:dyDescent="0.25">
      <c r="A116" s="4" t="s">
        <v>142</v>
      </c>
      <c r="B116" s="5">
        <v>45681</v>
      </c>
      <c r="C116" s="6" t="s">
        <v>10</v>
      </c>
      <c r="D116" s="6" t="s">
        <v>32</v>
      </c>
      <c r="E116" s="6" t="s">
        <v>20</v>
      </c>
      <c r="F116" s="6">
        <v>2</v>
      </c>
      <c r="G116" s="6">
        <v>2500</v>
      </c>
      <c r="H116" s="6">
        <v>5000</v>
      </c>
      <c r="I116" s="7" t="s">
        <v>21</v>
      </c>
    </row>
    <row r="117" spans="1:9" x14ac:dyDescent="0.25">
      <c r="A117" s="4" t="s">
        <v>143</v>
      </c>
      <c r="B117" s="5">
        <v>45726</v>
      </c>
      <c r="C117" s="6" t="s">
        <v>28</v>
      </c>
      <c r="D117" s="6" t="s">
        <v>19</v>
      </c>
      <c r="E117" s="6" t="s">
        <v>20</v>
      </c>
      <c r="F117" s="6">
        <v>1</v>
      </c>
      <c r="G117" s="6">
        <v>1200</v>
      </c>
      <c r="H117" s="6">
        <v>1200</v>
      </c>
      <c r="I117" s="7" t="s">
        <v>17</v>
      </c>
    </row>
    <row r="118" spans="1:9" x14ac:dyDescent="0.25">
      <c r="A118" s="4" t="s">
        <v>144</v>
      </c>
      <c r="B118" s="5">
        <v>45732</v>
      </c>
      <c r="C118" s="6" t="s">
        <v>10</v>
      </c>
      <c r="D118" s="6" t="s">
        <v>16</v>
      </c>
      <c r="E118" s="6" t="s">
        <v>12</v>
      </c>
      <c r="F118" s="6">
        <v>5</v>
      </c>
      <c r="G118" s="6">
        <v>1200</v>
      </c>
      <c r="H118" s="6">
        <v>6000</v>
      </c>
      <c r="I118" s="7" t="s">
        <v>17</v>
      </c>
    </row>
    <row r="119" spans="1:9" x14ac:dyDescent="0.25">
      <c r="A119" s="4" t="s">
        <v>145</v>
      </c>
      <c r="B119" s="5">
        <v>45671</v>
      </c>
      <c r="C119" s="6" t="s">
        <v>28</v>
      </c>
      <c r="D119" s="6" t="s">
        <v>34</v>
      </c>
      <c r="E119" s="6" t="s">
        <v>35</v>
      </c>
      <c r="F119" s="6">
        <v>4</v>
      </c>
      <c r="G119" s="6">
        <v>60</v>
      </c>
      <c r="H119" s="6">
        <v>240</v>
      </c>
      <c r="I119" s="7" t="s">
        <v>17</v>
      </c>
    </row>
    <row r="120" spans="1:9" x14ac:dyDescent="0.25">
      <c r="A120" s="4" t="s">
        <v>146</v>
      </c>
      <c r="B120" s="5">
        <v>45712</v>
      </c>
      <c r="C120" s="6" t="s">
        <v>28</v>
      </c>
      <c r="D120" s="6" t="s">
        <v>29</v>
      </c>
      <c r="E120" s="6" t="s">
        <v>30</v>
      </c>
      <c r="F120" s="6">
        <v>5</v>
      </c>
      <c r="G120" s="6">
        <v>40</v>
      </c>
      <c r="H120" s="6">
        <v>200</v>
      </c>
      <c r="I120" s="7" t="s">
        <v>13</v>
      </c>
    </row>
    <row r="121" spans="1:9" x14ac:dyDescent="0.25">
      <c r="A121" s="4" t="s">
        <v>147</v>
      </c>
      <c r="B121" s="5">
        <v>45719</v>
      </c>
      <c r="C121" s="6" t="s">
        <v>15</v>
      </c>
      <c r="D121" s="6" t="s">
        <v>29</v>
      </c>
      <c r="E121" s="6" t="s">
        <v>30</v>
      </c>
      <c r="F121" s="6">
        <v>2</v>
      </c>
      <c r="G121" s="6">
        <v>40</v>
      </c>
      <c r="H121" s="6">
        <v>80</v>
      </c>
      <c r="I121" s="7" t="s">
        <v>17</v>
      </c>
    </row>
    <row r="122" spans="1:9" x14ac:dyDescent="0.25">
      <c r="A122" s="4" t="s">
        <v>148</v>
      </c>
      <c r="B122" s="5">
        <v>45687</v>
      </c>
      <c r="C122" s="6" t="s">
        <v>10</v>
      </c>
      <c r="D122" s="6" t="s">
        <v>29</v>
      </c>
      <c r="E122" s="6" t="s">
        <v>30</v>
      </c>
      <c r="F122" s="6">
        <v>4</v>
      </c>
      <c r="G122" s="6">
        <v>40</v>
      </c>
      <c r="H122" s="6">
        <v>160</v>
      </c>
      <c r="I122" s="7" t="s">
        <v>21</v>
      </c>
    </row>
    <row r="123" spans="1:9" x14ac:dyDescent="0.25">
      <c r="A123" s="4" t="s">
        <v>149</v>
      </c>
      <c r="B123" s="5">
        <v>45672</v>
      </c>
      <c r="C123" s="6" t="s">
        <v>23</v>
      </c>
      <c r="D123" s="6" t="s">
        <v>26</v>
      </c>
      <c r="E123" s="6" t="s">
        <v>12</v>
      </c>
      <c r="F123" s="6">
        <v>1</v>
      </c>
      <c r="G123" s="6">
        <v>1800</v>
      </c>
      <c r="H123" s="6">
        <v>1800</v>
      </c>
      <c r="I123" s="7" t="s">
        <v>13</v>
      </c>
    </row>
    <row r="124" spans="1:9" x14ac:dyDescent="0.25">
      <c r="A124" s="4" t="s">
        <v>150</v>
      </c>
      <c r="B124" s="5">
        <v>45745</v>
      </c>
      <c r="C124" s="6" t="s">
        <v>23</v>
      </c>
      <c r="D124" s="6" t="s">
        <v>32</v>
      </c>
      <c r="E124" s="6" t="s">
        <v>20</v>
      </c>
      <c r="F124" s="6">
        <v>4</v>
      </c>
      <c r="G124" s="6">
        <v>2500</v>
      </c>
      <c r="H124" s="6">
        <v>10000</v>
      </c>
      <c r="I124" s="7" t="s">
        <v>21</v>
      </c>
    </row>
    <row r="125" spans="1:9" x14ac:dyDescent="0.25">
      <c r="A125" s="4" t="s">
        <v>151</v>
      </c>
      <c r="B125" s="5">
        <v>45708</v>
      </c>
      <c r="C125" s="6" t="s">
        <v>28</v>
      </c>
      <c r="D125" s="6" t="s">
        <v>40</v>
      </c>
      <c r="E125" s="6" t="s">
        <v>35</v>
      </c>
      <c r="F125" s="6">
        <v>1</v>
      </c>
      <c r="G125" s="6">
        <v>180</v>
      </c>
      <c r="H125" s="6">
        <v>180</v>
      </c>
      <c r="I125" s="7" t="s">
        <v>17</v>
      </c>
    </row>
    <row r="126" spans="1:9" x14ac:dyDescent="0.25">
      <c r="A126" s="4" t="s">
        <v>152</v>
      </c>
      <c r="B126" s="5">
        <v>45669</v>
      </c>
      <c r="C126" s="6" t="s">
        <v>15</v>
      </c>
      <c r="D126" s="6" t="s">
        <v>26</v>
      </c>
      <c r="E126" s="6" t="s">
        <v>12</v>
      </c>
      <c r="F126" s="6">
        <v>3</v>
      </c>
      <c r="G126" s="6">
        <v>1800</v>
      </c>
      <c r="H126" s="6">
        <v>5400</v>
      </c>
      <c r="I126" s="7" t="s">
        <v>17</v>
      </c>
    </row>
    <row r="127" spans="1:9" x14ac:dyDescent="0.25">
      <c r="A127" s="4" t="s">
        <v>153</v>
      </c>
      <c r="B127" s="5">
        <v>45711</v>
      </c>
      <c r="C127" s="6" t="s">
        <v>10</v>
      </c>
      <c r="D127" s="6" t="s">
        <v>32</v>
      </c>
      <c r="E127" s="6" t="s">
        <v>20</v>
      </c>
      <c r="F127" s="6">
        <v>4</v>
      </c>
      <c r="G127" s="6">
        <v>2500</v>
      </c>
      <c r="H127" s="6">
        <v>10000</v>
      </c>
      <c r="I127" s="7" t="s">
        <v>17</v>
      </c>
    </row>
    <row r="128" spans="1:9" x14ac:dyDescent="0.25">
      <c r="A128" s="4" t="s">
        <v>154</v>
      </c>
      <c r="B128" s="5">
        <v>45686</v>
      </c>
      <c r="C128" s="6" t="s">
        <v>15</v>
      </c>
      <c r="D128" s="6" t="s">
        <v>11</v>
      </c>
      <c r="E128" s="6" t="s">
        <v>12</v>
      </c>
      <c r="F128" s="6">
        <v>3</v>
      </c>
      <c r="G128" s="6">
        <v>3500</v>
      </c>
      <c r="H128" s="6">
        <v>10500</v>
      </c>
      <c r="I128" s="7" t="s">
        <v>17</v>
      </c>
    </row>
    <row r="129" spans="1:9" x14ac:dyDescent="0.25">
      <c r="A129" s="4" t="s">
        <v>155</v>
      </c>
      <c r="B129" s="5">
        <v>45703</v>
      </c>
      <c r="C129" s="6" t="s">
        <v>15</v>
      </c>
      <c r="D129" s="6" t="s">
        <v>29</v>
      </c>
      <c r="E129" s="6" t="s">
        <v>30</v>
      </c>
      <c r="F129" s="6">
        <v>3</v>
      </c>
      <c r="G129" s="6">
        <v>40</v>
      </c>
      <c r="H129" s="6">
        <v>120</v>
      </c>
      <c r="I129" s="7" t="s">
        <v>13</v>
      </c>
    </row>
    <row r="130" spans="1:9" x14ac:dyDescent="0.25">
      <c r="A130" s="4" t="s">
        <v>156</v>
      </c>
      <c r="B130" s="5">
        <v>45664</v>
      </c>
      <c r="C130" s="6" t="s">
        <v>10</v>
      </c>
      <c r="D130" s="6" t="s">
        <v>34</v>
      </c>
      <c r="E130" s="6" t="s">
        <v>35</v>
      </c>
      <c r="F130" s="6">
        <v>5</v>
      </c>
      <c r="G130" s="6">
        <v>60</v>
      </c>
      <c r="H130" s="6">
        <v>300</v>
      </c>
      <c r="I130" s="7" t="s">
        <v>13</v>
      </c>
    </row>
    <row r="131" spans="1:9" x14ac:dyDescent="0.25">
      <c r="A131" s="4" t="s">
        <v>157</v>
      </c>
      <c r="B131" s="5">
        <v>45723</v>
      </c>
      <c r="C131" s="6" t="s">
        <v>10</v>
      </c>
      <c r="D131" s="6" t="s">
        <v>16</v>
      </c>
      <c r="E131" s="6" t="s">
        <v>12</v>
      </c>
      <c r="F131" s="6">
        <v>3</v>
      </c>
      <c r="G131" s="6">
        <v>1200</v>
      </c>
      <c r="H131" s="6">
        <v>3600</v>
      </c>
      <c r="I131" s="7" t="s">
        <v>21</v>
      </c>
    </row>
    <row r="132" spans="1:9" x14ac:dyDescent="0.25">
      <c r="A132" s="4" t="s">
        <v>158</v>
      </c>
      <c r="B132" s="5">
        <v>45710</v>
      </c>
      <c r="C132" s="6" t="s">
        <v>15</v>
      </c>
      <c r="D132" s="6" t="s">
        <v>29</v>
      </c>
      <c r="E132" s="6" t="s">
        <v>30</v>
      </c>
      <c r="F132" s="6">
        <v>5</v>
      </c>
      <c r="G132" s="6">
        <v>40</v>
      </c>
      <c r="H132" s="6">
        <v>200</v>
      </c>
      <c r="I132" s="7" t="s">
        <v>21</v>
      </c>
    </row>
    <row r="133" spans="1:9" x14ac:dyDescent="0.25">
      <c r="A133" s="4" t="s">
        <v>159</v>
      </c>
      <c r="B133" s="5">
        <v>45735</v>
      </c>
      <c r="C133" s="6" t="s">
        <v>28</v>
      </c>
      <c r="D133" s="6" t="s">
        <v>19</v>
      </c>
      <c r="E133" s="6" t="s">
        <v>20</v>
      </c>
      <c r="F133" s="6">
        <v>4</v>
      </c>
      <c r="G133" s="6">
        <v>1200</v>
      </c>
      <c r="H133" s="6">
        <v>4800</v>
      </c>
      <c r="I133" s="7" t="s">
        <v>21</v>
      </c>
    </row>
    <row r="134" spans="1:9" x14ac:dyDescent="0.25">
      <c r="A134" s="4" t="s">
        <v>160</v>
      </c>
      <c r="B134" s="5">
        <v>45676</v>
      </c>
      <c r="C134" s="6" t="s">
        <v>23</v>
      </c>
      <c r="D134" s="6" t="s">
        <v>40</v>
      </c>
      <c r="E134" s="6" t="s">
        <v>35</v>
      </c>
      <c r="F134" s="6">
        <v>3</v>
      </c>
      <c r="G134" s="6">
        <v>180</v>
      </c>
      <c r="H134" s="6">
        <v>540</v>
      </c>
      <c r="I134" s="7" t="s">
        <v>13</v>
      </c>
    </row>
    <row r="135" spans="1:9" x14ac:dyDescent="0.25">
      <c r="A135" s="4" t="s">
        <v>161</v>
      </c>
      <c r="B135" s="5">
        <v>45668</v>
      </c>
      <c r="C135" s="6" t="s">
        <v>10</v>
      </c>
      <c r="D135" s="6" t="s">
        <v>34</v>
      </c>
      <c r="E135" s="6" t="s">
        <v>35</v>
      </c>
      <c r="F135" s="6">
        <v>3</v>
      </c>
      <c r="G135" s="6">
        <v>60</v>
      </c>
      <c r="H135" s="6">
        <v>180</v>
      </c>
      <c r="I135" s="7" t="s">
        <v>21</v>
      </c>
    </row>
    <row r="136" spans="1:9" x14ac:dyDescent="0.25">
      <c r="A136" s="4" t="s">
        <v>162</v>
      </c>
      <c r="B136" s="5">
        <v>45707</v>
      </c>
      <c r="C136" s="6" t="s">
        <v>15</v>
      </c>
      <c r="D136" s="6" t="s">
        <v>19</v>
      </c>
      <c r="E136" s="6" t="s">
        <v>20</v>
      </c>
      <c r="F136" s="6">
        <v>1</v>
      </c>
      <c r="G136" s="6">
        <v>1200</v>
      </c>
      <c r="H136" s="6">
        <v>1200</v>
      </c>
      <c r="I136" s="7" t="s">
        <v>21</v>
      </c>
    </row>
    <row r="137" spans="1:9" x14ac:dyDescent="0.25">
      <c r="A137" s="4" t="s">
        <v>163</v>
      </c>
      <c r="B137" s="5">
        <v>45713</v>
      </c>
      <c r="C137" s="6" t="s">
        <v>23</v>
      </c>
      <c r="D137" s="6" t="s">
        <v>40</v>
      </c>
      <c r="E137" s="6" t="s">
        <v>35</v>
      </c>
      <c r="F137" s="6">
        <v>5</v>
      </c>
      <c r="G137" s="6">
        <v>180</v>
      </c>
      <c r="H137" s="6">
        <v>900</v>
      </c>
      <c r="I137" s="7" t="s">
        <v>21</v>
      </c>
    </row>
    <row r="138" spans="1:9" x14ac:dyDescent="0.25">
      <c r="A138" s="4" t="s">
        <v>164</v>
      </c>
      <c r="B138" s="5">
        <v>45664</v>
      </c>
      <c r="C138" s="6" t="s">
        <v>10</v>
      </c>
      <c r="D138" s="6" t="s">
        <v>32</v>
      </c>
      <c r="E138" s="6" t="s">
        <v>20</v>
      </c>
      <c r="F138" s="6">
        <v>5</v>
      </c>
      <c r="G138" s="6">
        <v>2500</v>
      </c>
      <c r="H138" s="6">
        <v>12500</v>
      </c>
      <c r="I138" s="7" t="s">
        <v>17</v>
      </c>
    </row>
    <row r="139" spans="1:9" x14ac:dyDescent="0.25">
      <c r="A139" s="4" t="s">
        <v>165</v>
      </c>
      <c r="B139" s="5">
        <v>45732</v>
      </c>
      <c r="C139" s="6" t="s">
        <v>28</v>
      </c>
      <c r="D139" s="6" t="s">
        <v>26</v>
      </c>
      <c r="E139" s="6" t="s">
        <v>12</v>
      </c>
      <c r="F139" s="6">
        <v>5</v>
      </c>
      <c r="G139" s="6">
        <v>1800</v>
      </c>
      <c r="H139" s="6">
        <v>9000</v>
      </c>
      <c r="I139" s="7" t="s">
        <v>21</v>
      </c>
    </row>
    <row r="140" spans="1:9" x14ac:dyDescent="0.25">
      <c r="A140" s="4" t="s">
        <v>166</v>
      </c>
      <c r="B140" s="5">
        <v>45748</v>
      </c>
      <c r="C140" s="6" t="s">
        <v>15</v>
      </c>
      <c r="D140" s="6" t="s">
        <v>32</v>
      </c>
      <c r="E140" s="6" t="s">
        <v>20</v>
      </c>
      <c r="F140" s="6">
        <v>3</v>
      </c>
      <c r="G140" s="6">
        <v>2500</v>
      </c>
      <c r="H140" s="6">
        <v>7500</v>
      </c>
      <c r="I140" s="7" t="s">
        <v>21</v>
      </c>
    </row>
    <row r="141" spans="1:9" x14ac:dyDescent="0.25">
      <c r="A141" s="4" t="s">
        <v>167</v>
      </c>
      <c r="B141" s="5">
        <v>45717</v>
      </c>
      <c r="C141" s="6" t="s">
        <v>15</v>
      </c>
      <c r="D141" s="6" t="s">
        <v>26</v>
      </c>
      <c r="E141" s="6" t="s">
        <v>12</v>
      </c>
      <c r="F141" s="6">
        <v>2</v>
      </c>
      <c r="G141" s="6">
        <v>1800</v>
      </c>
      <c r="H141" s="6">
        <v>3600</v>
      </c>
      <c r="I141" s="7" t="s">
        <v>17</v>
      </c>
    </row>
    <row r="142" spans="1:9" x14ac:dyDescent="0.25">
      <c r="A142" s="4" t="s">
        <v>168</v>
      </c>
      <c r="B142" s="5">
        <v>45693</v>
      </c>
      <c r="C142" s="6" t="s">
        <v>28</v>
      </c>
      <c r="D142" s="6" t="s">
        <v>11</v>
      </c>
      <c r="E142" s="6" t="s">
        <v>12</v>
      </c>
      <c r="F142" s="6">
        <v>4</v>
      </c>
      <c r="G142" s="6">
        <v>3500</v>
      </c>
      <c r="H142" s="6">
        <v>14000</v>
      </c>
      <c r="I142" s="7" t="s">
        <v>13</v>
      </c>
    </row>
    <row r="143" spans="1:9" x14ac:dyDescent="0.25">
      <c r="A143" s="4" t="s">
        <v>169</v>
      </c>
      <c r="B143" s="5">
        <v>45669</v>
      </c>
      <c r="C143" s="6" t="s">
        <v>23</v>
      </c>
      <c r="D143" s="6" t="s">
        <v>16</v>
      </c>
      <c r="E143" s="6" t="s">
        <v>12</v>
      </c>
      <c r="F143" s="6">
        <v>4</v>
      </c>
      <c r="G143" s="6">
        <v>1200</v>
      </c>
      <c r="H143" s="6">
        <v>4800</v>
      </c>
      <c r="I143" s="7" t="s">
        <v>21</v>
      </c>
    </row>
    <row r="144" spans="1:9" x14ac:dyDescent="0.25">
      <c r="A144" s="4" t="s">
        <v>170</v>
      </c>
      <c r="B144" s="5">
        <v>45696</v>
      </c>
      <c r="C144" s="6" t="s">
        <v>23</v>
      </c>
      <c r="D144" s="6" t="s">
        <v>40</v>
      </c>
      <c r="E144" s="6" t="s">
        <v>35</v>
      </c>
      <c r="F144" s="6">
        <v>2</v>
      </c>
      <c r="G144" s="6">
        <v>180</v>
      </c>
      <c r="H144" s="6">
        <v>360</v>
      </c>
      <c r="I144" s="7" t="s">
        <v>21</v>
      </c>
    </row>
    <row r="145" spans="1:9" x14ac:dyDescent="0.25">
      <c r="A145" s="4" t="s">
        <v>171</v>
      </c>
      <c r="B145" s="5">
        <v>45746</v>
      </c>
      <c r="C145" s="6" t="s">
        <v>15</v>
      </c>
      <c r="D145" s="6" t="s">
        <v>40</v>
      </c>
      <c r="E145" s="6" t="s">
        <v>35</v>
      </c>
      <c r="F145" s="6">
        <v>4</v>
      </c>
      <c r="G145" s="6">
        <v>180</v>
      </c>
      <c r="H145" s="6">
        <v>720</v>
      </c>
      <c r="I145" s="7" t="s">
        <v>17</v>
      </c>
    </row>
    <row r="146" spans="1:9" x14ac:dyDescent="0.25">
      <c r="A146" s="4" t="s">
        <v>172</v>
      </c>
      <c r="B146" s="5">
        <v>45668</v>
      </c>
      <c r="C146" s="6" t="s">
        <v>28</v>
      </c>
      <c r="D146" s="6" t="s">
        <v>40</v>
      </c>
      <c r="E146" s="6" t="s">
        <v>35</v>
      </c>
      <c r="F146" s="6">
        <v>4</v>
      </c>
      <c r="G146" s="6">
        <v>180</v>
      </c>
      <c r="H146" s="6">
        <v>720</v>
      </c>
      <c r="I146" s="7" t="s">
        <v>17</v>
      </c>
    </row>
    <row r="147" spans="1:9" x14ac:dyDescent="0.25">
      <c r="A147" s="4" t="s">
        <v>173</v>
      </c>
      <c r="B147" s="5">
        <v>45703</v>
      </c>
      <c r="C147" s="6" t="s">
        <v>23</v>
      </c>
      <c r="D147" s="6" t="s">
        <v>32</v>
      </c>
      <c r="E147" s="6" t="s">
        <v>20</v>
      </c>
      <c r="F147" s="6">
        <v>2</v>
      </c>
      <c r="G147" s="6">
        <v>2500</v>
      </c>
      <c r="H147" s="6">
        <v>5000</v>
      </c>
      <c r="I147" s="7" t="s">
        <v>21</v>
      </c>
    </row>
    <row r="148" spans="1:9" x14ac:dyDescent="0.25">
      <c r="A148" s="4" t="s">
        <v>174</v>
      </c>
      <c r="B148" s="5">
        <v>45706</v>
      </c>
      <c r="C148" s="6" t="s">
        <v>28</v>
      </c>
      <c r="D148" s="6" t="s">
        <v>34</v>
      </c>
      <c r="E148" s="6" t="s">
        <v>35</v>
      </c>
      <c r="F148" s="6">
        <v>1</v>
      </c>
      <c r="G148" s="6">
        <v>60</v>
      </c>
      <c r="H148" s="6">
        <v>60</v>
      </c>
      <c r="I148" s="7" t="s">
        <v>21</v>
      </c>
    </row>
    <row r="149" spans="1:9" x14ac:dyDescent="0.25">
      <c r="A149" s="4" t="s">
        <v>175</v>
      </c>
      <c r="B149" s="5">
        <v>45748</v>
      </c>
      <c r="C149" s="6" t="s">
        <v>10</v>
      </c>
      <c r="D149" s="6" t="s">
        <v>32</v>
      </c>
      <c r="E149" s="6" t="s">
        <v>20</v>
      </c>
      <c r="F149" s="6">
        <v>4</v>
      </c>
      <c r="G149" s="6">
        <v>2500</v>
      </c>
      <c r="H149" s="6">
        <v>10000</v>
      </c>
      <c r="I149" s="7" t="s">
        <v>21</v>
      </c>
    </row>
    <row r="150" spans="1:9" x14ac:dyDescent="0.25">
      <c r="A150" s="4" t="s">
        <v>176</v>
      </c>
      <c r="B150" s="5">
        <v>45686</v>
      </c>
      <c r="C150" s="6" t="s">
        <v>10</v>
      </c>
      <c r="D150" s="6" t="s">
        <v>40</v>
      </c>
      <c r="E150" s="6" t="s">
        <v>35</v>
      </c>
      <c r="F150" s="6">
        <v>3</v>
      </c>
      <c r="G150" s="6">
        <v>180</v>
      </c>
      <c r="H150" s="6">
        <v>540</v>
      </c>
      <c r="I150" s="7" t="s">
        <v>21</v>
      </c>
    </row>
    <row r="151" spans="1:9" x14ac:dyDescent="0.25">
      <c r="A151" s="4" t="s">
        <v>177</v>
      </c>
      <c r="B151" s="5">
        <v>45706</v>
      </c>
      <c r="C151" s="6" t="s">
        <v>23</v>
      </c>
      <c r="D151" s="6" t="s">
        <v>40</v>
      </c>
      <c r="E151" s="6" t="s">
        <v>35</v>
      </c>
      <c r="F151" s="6">
        <v>3</v>
      </c>
      <c r="G151" s="6">
        <v>180</v>
      </c>
      <c r="H151" s="6">
        <v>540</v>
      </c>
      <c r="I151" s="7" t="s">
        <v>13</v>
      </c>
    </row>
    <row r="152" spans="1:9" x14ac:dyDescent="0.25">
      <c r="A152" s="4" t="s">
        <v>178</v>
      </c>
      <c r="B152" s="5">
        <v>45699</v>
      </c>
      <c r="C152" s="6" t="s">
        <v>15</v>
      </c>
      <c r="D152" s="6" t="s">
        <v>16</v>
      </c>
      <c r="E152" s="6" t="s">
        <v>12</v>
      </c>
      <c r="F152" s="6">
        <v>1</v>
      </c>
      <c r="G152" s="6">
        <v>1200</v>
      </c>
      <c r="H152" s="6">
        <v>1200</v>
      </c>
      <c r="I152" s="7" t="s">
        <v>21</v>
      </c>
    </row>
    <row r="153" spans="1:9" x14ac:dyDescent="0.25">
      <c r="A153" s="4" t="s">
        <v>179</v>
      </c>
      <c r="B153" s="5">
        <v>45696</v>
      </c>
      <c r="C153" s="6" t="s">
        <v>23</v>
      </c>
      <c r="D153" s="6" t="s">
        <v>40</v>
      </c>
      <c r="E153" s="6" t="s">
        <v>35</v>
      </c>
      <c r="F153" s="6">
        <v>2</v>
      </c>
      <c r="G153" s="6">
        <v>180</v>
      </c>
      <c r="H153" s="6">
        <v>360</v>
      </c>
      <c r="I153" s="7" t="s">
        <v>13</v>
      </c>
    </row>
    <row r="154" spans="1:9" x14ac:dyDescent="0.25">
      <c r="A154" s="4" t="s">
        <v>180</v>
      </c>
      <c r="B154" s="5">
        <v>45710</v>
      </c>
      <c r="C154" s="6" t="s">
        <v>15</v>
      </c>
      <c r="D154" s="6" t="s">
        <v>40</v>
      </c>
      <c r="E154" s="6" t="s">
        <v>35</v>
      </c>
      <c r="F154" s="6">
        <v>5</v>
      </c>
      <c r="G154" s="6">
        <v>180</v>
      </c>
      <c r="H154" s="6">
        <v>900</v>
      </c>
      <c r="I154" s="7" t="s">
        <v>13</v>
      </c>
    </row>
    <row r="155" spans="1:9" x14ac:dyDescent="0.25">
      <c r="A155" s="4" t="s">
        <v>181</v>
      </c>
      <c r="B155" s="5">
        <v>45739</v>
      </c>
      <c r="C155" s="6" t="s">
        <v>15</v>
      </c>
      <c r="D155" s="6" t="s">
        <v>26</v>
      </c>
      <c r="E155" s="6" t="s">
        <v>12</v>
      </c>
      <c r="F155" s="6">
        <v>2</v>
      </c>
      <c r="G155" s="6">
        <v>1800</v>
      </c>
      <c r="H155" s="6">
        <v>3600</v>
      </c>
      <c r="I155" s="7" t="s">
        <v>17</v>
      </c>
    </row>
    <row r="156" spans="1:9" x14ac:dyDescent="0.25">
      <c r="A156" s="4" t="s">
        <v>182</v>
      </c>
      <c r="B156" s="5">
        <v>45728</v>
      </c>
      <c r="C156" s="6" t="s">
        <v>10</v>
      </c>
      <c r="D156" s="6" t="s">
        <v>29</v>
      </c>
      <c r="E156" s="6" t="s">
        <v>30</v>
      </c>
      <c r="F156" s="6">
        <v>1</v>
      </c>
      <c r="G156" s="6">
        <v>40</v>
      </c>
      <c r="H156" s="6">
        <v>40</v>
      </c>
      <c r="I156" s="7" t="s">
        <v>21</v>
      </c>
    </row>
    <row r="157" spans="1:9" x14ac:dyDescent="0.25">
      <c r="A157" s="4" t="s">
        <v>183</v>
      </c>
      <c r="B157" s="5">
        <v>45715</v>
      </c>
      <c r="C157" s="6" t="s">
        <v>23</v>
      </c>
      <c r="D157" s="6" t="s">
        <v>40</v>
      </c>
      <c r="E157" s="6" t="s">
        <v>35</v>
      </c>
      <c r="F157" s="6">
        <v>5</v>
      </c>
      <c r="G157" s="6">
        <v>180</v>
      </c>
      <c r="H157" s="6">
        <v>900</v>
      </c>
      <c r="I157" s="7" t="s">
        <v>13</v>
      </c>
    </row>
    <row r="158" spans="1:9" x14ac:dyDescent="0.25">
      <c r="A158" s="4" t="s">
        <v>184</v>
      </c>
      <c r="B158" s="5">
        <v>45692</v>
      </c>
      <c r="C158" s="6" t="s">
        <v>10</v>
      </c>
      <c r="D158" s="6" t="s">
        <v>11</v>
      </c>
      <c r="E158" s="6" t="s">
        <v>12</v>
      </c>
      <c r="F158" s="6">
        <v>3</v>
      </c>
      <c r="G158" s="6">
        <v>3500</v>
      </c>
      <c r="H158" s="6">
        <v>10500</v>
      </c>
      <c r="I158" s="7" t="s">
        <v>13</v>
      </c>
    </row>
    <row r="159" spans="1:9" x14ac:dyDescent="0.25">
      <c r="A159" s="4" t="s">
        <v>185</v>
      </c>
      <c r="B159" s="5">
        <v>45711</v>
      </c>
      <c r="C159" s="6" t="s">
        <v>10</v>
      </c>
      <c r="D159" s="6" t="s">
        <v>26</v>
      </c>
      <c r="E159" s="6" t="s">
        <v>12</v>
      </c>
      <c r="F159" s="6">
        <v>3</v>
      </c>
      <c r="G159" s="6">
        <v>1800</v>
      </c>
      <c r="H159" s="6">
        <v>5400</v>
      </c>
      <c r="I159" s="7" t="s">
        <v>17</v>
      </c>
    </row>
    <row r="160" spans="1:9" x14ac:dyDescent="0.25">
      <c r="A160" s="4" t="s">
        <v>186</v>
      </c>
      <c r="B160" s="5">
        <v>45683</v>
      </c>
      <c r="C160" s="6" t="s">
        <v>10</v>
      </c>
      <c r="D160" s="6" t="s">
        <v>40</v>
      </c>
      <c r="E160" s="6" t="s">
        <v>35</v>
      </c>
      <c r="F160" s="6">
        <v>4</v>
      </c>
      <c r="G160" s="6">
        <v>180</v>
      </c>
      <c r="H160" s="6">
        <v>720</v>
      </c>
      <c r="I160" s="7" t="s">
        <v>17</v>
      </c>
    </row>
    <row r="161" spans="1:9" x14ac:dyDescent="0.25">
      <c r="A161" s="4" t="s">
        <v>187</v>
      </c>
      <c r="B161" s="5">
        <v>45738</v>
      </c>
      <c r="C161" s="6" t="s">
        <v>10</v>
      </c>
      <c r="D161" s="6" t="s">
        <v>26</v>
      </c>
      <c r="E161" s="6" t="s">
        <v>12</v>
      </c>
      <c r="F161" s="6">
        <v>1</v>
      </c>
      <c r="G161" s="6">
        <v>1800</v>
      </c>
      <c r="H161" s="6">
        <v>1800</v>
      </c>
      <c r="I161" s="7" t="s">
        <v>21</v>
      </c>
    </row>
    <row r="162" spans="1:9" x14ac:dyDescent="0.25">
      <c r="A162" s="4" t="s">
        <v>188</v>
      </c>
      <c r="B162" s="5">
        <v>45671</v>
      </c>
      <c r="C162" s="6" t="s">
        <v>10</v>
      </c>
      <c r="D162" s="6" t="s">
        <v>26</v>
      </c>
      <c r="E162" s="6" t="s">
        <v>12</v>
      </c>
      <c r="F162" s="6">
        <v>2</v>
      </c>
      <c r="G162" s="6">
        <v>1800</v>
      </c>
      <c r="H162" s="6">
        <v>3600</v>
      </c>
      <c r="I162" s="7" t="s">
        <v>21</v>
      </c>
    </row>
    <row r="163" spans="1:9" x14ac:dyDescent="0.25">
      <c r="A163" s="4" t="s">
        <v>189</v>
      </c>
      <c r="B163" s="5">
        <v>45688</v>
      </c>
      <c r="C163" s="6" t="s">
        <v>15</v>
      </c>
      <c r="D163" s="6" t="s">
        <v>40</v>
      </c>
      <c r="E163" s="6" t="s">
        <v>35</v>
      </c>
      <c r="F163" s="6">
        <v>2</v>
      </c>
      <c r="G163" s="6">
        <v>180</v>
      </c>
      <c r="H163" s="6">
        <v>360</v>
      </c>
      <c r="I163" s="7" t="s">
        <v>13</v>
      </c>
    </row>
    <row r="164" spans="1:9" x14ac:dyDescent="0.25">
      <c r="A164" s="4" t="s">
        <v>190</v>
      </c>
      <c r="B164" s="5">
        <v>45711</v>
      </c>
      <c r="C164" s="6" t="s">
        <v>10</v>
      </c>
      <c r="D164" s="6" t="s">
        <v>29</v>
      </c>
      <c r="E164" s="6" t="s">
        <v>30</v>
      </c>
      <c r="F164" s="6">
        <v>3</v>
      </c>
      <c r="G164" s="6">
        <v>40</v>
      </c>
      <c r="H164" s="6">
        <v>120</v>
      </c>
      <c r="I164" s="7" t="s">
        <v>13</v>
      </c>
    </row>
    <row r="165" spans="1:9" x14ac:dyDescent="0.25">
      <c r="A165" s="4" t="s">
        <v>191</v>
      </c>
      <c r="B165" s="5">
        <v>45690</v>
      </c>
      <c r="C165" s="6" t="s">
        <v>10</v>
      </c>
      <c r="D165" s="6" t="s">
        <v>32</v>
      </c>
      <c r="E165" s="6" t="s">
        <v>20</v>
      </c>
      <c r="F165" s="6">
        <v>1</v>
      </c>
      <c r="G165" s="6">
        <v>2500</v>
      </c>
      <c r="H165" s="6">
        <v>2500</v>
      </c>
      <c r="I165" s="7" t="s">
        <v>21</v>
      </c>
    </row>
    <row r="166" spans="1:9" x14ac:dyDescent="0.25">
      <c r="A166" s="4" t="s">
        <v>192</v>
      </c>
      <c r="B166" s="5">
        <v>45695</v>
      </c>
      <c r="C166" s="6" t="s">
        <v>23</v>
      </c>
      <c r="D166" s="6" t="s">
        <v>40</v>
      </c>
      <c r="E166" s="6" t="s">
        <v>35</v>
      </c>
      <c r="F166" s="6">
        <v>1</v>
      </c>
      <c r="G166" s="6">
        <v>180</v>
      </c>
      <c r="H166" s="6">
        <v>180</v>
      </c>
      <c r="I166" s="7" t="s">
        <v>17</v>
      </c>
    </row>
    <row r="167" spans="1:9" x14ac:dyDescent="0.25">
      <c r="A167" s="4" t="s">
        <v>193</v>
      </c>
      <c r="B167" s="5">
        <v>45709</v>
      </c>
      <c r="C167" s="6" t="s">
        <v>28</v>
      </c>
      <c r="D167" s="6" t="s">
        <v>40</v>
      </c>
      <c r="E167" s="6" t="s">
        <v>35</v>
      </c>
      <c r="F167" s="6">
        <v>2</v>
      </c>
      <c r="G167" s="6">
        <v>180</v>
      </c>
      <c r="H167" s="6">
        <v>360</v>
      </c>
      <c r="I167" s="7" t="s">
        <v>13</v>
      </c>
    </row>
    <row r="168" spans="1:9" x14ac:dyDescent="0.25">
      <c r="A168" s="4" t="s">
        <v>194</v>
      </c>
      <c r="B168" s="5">
        <v>45730</v>
      </c>
      <c r="C168" s="6" t="s">
        <v>28</v>
      </c>
      <c r="D168" s="6" t="s">
        <v>32</v>
      </c>
      <c r="E168" s="6" t="s">
        <v>20</v>
      </c>
      <c r="F168" s="6">
        <v>5</v>
      </c>
      <c r="G168" s="6">
        <v>2500</v>
      </c>
      <c r="H168" s="6">
        <v>12500</v>
      </c>
      <c r="I168" s="7" t="s">
        <v>17</v>
      </c>
    </row>
    <row r="169" spans="1:9" x14ac:dyDescent="0.25">
      <c r="A169" s="4" t="s">
        <v>195</v>
      </c>
      <c r="B169" s="5">
        <v>45663</v>
      </c>
      <c r="C169" s="6" t="s">
        <v>10</v>
      </c>
      <c r="D169" s="6" t="s">
        <v>29</v>
      </c>
      <c r="E169" s="6" t="s">
        <v>30</v>
      </c>
      <c r="F169" s="6">
        <v>2</v>
      </c>
      <c r="G169" s="6">
        <v>40</v>
      </c>
      <c r="H169" s="6">
        <v>80</v>
      </c>
      <c r="I169" s="7" t="s">
        <v>13</v>
      </c>
    </row>
    <row r="170" spans="1:9" x14ac:dyDescent="0.25">
      <c r="A170" s="4" t="s">
        <v>196</v>
      </c>
      <c r="B170" s="5">
        <v>45700</v>
      </c>
      <c r="C170" s="6" t="s">
        <v>28</v>
      </c>
      <c r="D170" s="6" t="s">
        <v>19</v>
      </c>
      <c r="E170" s="6" t="s">
        <v>20</v>
      </c>
      <c r="F170" s="6">
        <v>5</v>
      </c>
      <c r="G170" s="6">
        <v>1200</v>
      </c>
      <c r="H170" s="6">
        <v>6000</v>
      </c>
      <c r="I170" s="7" t="s">
        <v>21</v>
      </c>
    </row>
    <row r="171" spans="1:9" x14ac:dyDescent="0.25">
      <c r="A171" s="4" t="s">
        <v>197</v>
      </c>
      <c r="B171" s="5">
        <v>45703</v>
      </c>
      <c r="C171" s="6" t="s">
        <v>15</v>
      </c>
      <c r="D171" s="6" t="s">
        <v>19</v>
      </c>
      <c r="E171" s="6" t="s">
        <v>20</v>
      </c>
      <c r="F171" s="6">
        <v>1</v>
      </c>
      <c r="G171" s="6">
        <v>1200</v>
      </c>
      <c r="H171" s="6">
        <v>1200</v>
      </c>
      <c r="I171" s="7" t="s">
        <v>13</v>
      </c>
    </row>
    <row r="172" spans="1:9" x14ac:dyDescent="0.25">
      <c r="A172" s="4" t="s">
        <v>198</v>
      </c>
      <c r="B172" s="5">
        <v>45748</v>
      </c>
      <c r="C172" s="6" t="s">
        <v>23</v>
      </c>
      <c r="D172" s="6" t="s">
        <v>34</v>
      </c>
      <c r="E172" s="6" t="s">
        <v>35</v>
      </c>
      <c r="F172" s="6">
        <v>5</v>
      </c>
      <c r="G172" s="6">
        <v>60</v>
      </c>
      <c r="H172" s="6">
        <v>300</v>
      </c>
      <c r="I172" s="7" t="s">
        <v>13</v>
      </c>
    </row>
    <row r="173" spans="1:9" x14ac:dyDescent="0.25">
      <c r="A173" s="4" t="s">
        <v>199</v>
      </c>
      <c r="B173" s="5">
        <v>45661</v>
      </c>
      <c r="C173" s="6" t="s">
        <v>10</v>
      </c>
      <c r="D173" s="6" t="s">
        <v>16</v>
      </c>
      <c r="E173" s="6" t="s">
        <v>12</v>
      </c>
      <c r="F173" s="6">
        <v>4</v>
      </c>
      <c r="G173" s="6">
        <v>1200</v>
      </c>
      <c r="H173" s="6">
        <v>4800</v>
      </c>
      <c r="I173" s="7" t="s">
        <v>13</v>
      </c>
    </row>
    <row r="174" spans="1:9" x14ac:dyDescent="0.25">
      <c r="A174" s="4" t="s">
        <v>200</v>
      </c>
      <c r="B174" s="5">
        <v>45679</v>
      </c>
      <c r="C174" s="6" t="s">
        <v>15</v>
      </c>
      <c r="D174" s="6" t="s">
        <v>26</v>
      </c>
      <c r="E174" s="6" t="s">
        <v>12</v>
      </c>
      <c r="F174" s="6">
        <v>1</v>
      </c>
      <c r="G174" s="6">
        <v>1800</v>
      </c>
      <c r="H174" s="6">
        <v>1800</v>
      </c>
      <c r="I174" s="7" t="s">
        <v>17</v>
      </c>
    </row>
    <row r="175" spans="1:9" x14ac:dyDescent="0.25">
      <c r="A175" s="4" t="s">
        <v>201</v>
      </c>
      <c r="B175" s="5">
        <v>45727</v>
      </c>
      <c r="C175" s="6" t="s">
        <v>28</v>
      </c>
      <c r="D175" s="6" t="s">
        <v>40</v>
      </c>
      <c r="E175" s="6" t="s">
        <v>35</v>
      </c>
      <c r="F175" s="6">
        <v>5</v>
      </c>
      <c r="G175" s="6">
        <v>180</v>
      </c>
      <c r="H175" s="6">
        <v>900</v>
      </c>
      <c r="I175" s="7" t="s">
        <v>21</v>
      </c>
    </row>
    <row r="176" spans="1:9" x14ac:dyDescent="0.25">
      <c r="A176" s="4" t="s">
        <v>202</v>
      </c>
      <c r="B176" s="5">
        <v>45684</v>
      </c>
      <c r="C176" s="6" t="s">
        <v>28</v>
      </c>
      <c r="D176" s="6" t="s">
        <v>26</v>
      </c>
      <c r="E176" s="6" t="s">
        <v>12</v>
      </c>
      <c r="F176" s="6">
        <v>3</v>
      </c>
      <c r="G176" s="6">
        <v>1800</v>
      </c>
      <c r="H176" s="6">
        <v>5400</v>
      </c>
      <c r="I176" s="7" t="s">
        <v>13</v>
      </c>
    </row>
    <row r="177" spans="1:9" x14ac:dyDescent="0.25">
      <c r="A177" s="4" t="s">
        <v>203</v>
      </c>
      <c r="B177" s="5">
        <v>45661</v>
      </c>
      <c r="C177" s="6" t="s">
        <v>10</v>
      </c>
      <c r="D177" s="6" t="s">
        <v>19</v>
      </c>
      <c r="E177" s="6" t="s">
        <v>20</v>
      </c>
      <c r="F177" s="6">
        <v>5</v>
      </c>
      <c r="G177" s="6">
        <v>1200</v>
      </c>
      <c r="H177" s="6">
        <v>6000</v>
      </c>
      <c r="I177" s="7" t="s">
        <v>13</v>
      </c>
    </row>
    <row r="178" spans="1:9" x14ac:dyDescent="0.25">
      <c r="A178" s="4" t="s">
        <v>204</v>
      </c>
      <c r="B178" s="5">
        <v>45745</v>
      </c>
      <c r="C178" s="6" t="s">
        <v>28</v>
      </c>
      <c r="D178" s="6" t="s">
        <v>16</v>
      </c>
      <c r="E178" s="6" t="s">
        <v>12</v>
      </c>
      <c r="F178" s="6">
        <v>1</v>
      </c>
      <c r="G178" s="6">
        <v>1200</v>
      </c>
      <c r="H178" s="6">
        <v>1200</v>
      </c>
      <c r="I178" s="7" t="s">
        <v>13</v>
      </c>
    </row>
    <row r="179" spans="1:9" x14ac:dyDescent="0.25">
      <c r="A179" s="4" t="s">
        <v>205</v>
      </c>
      <c r="B179" s="5">
        <v>45703</v>
      </c>
      <c r="C179" s="6" t="s">
        <v>10</v>
      </c>
      <c r="D179" s="6" t="s">
        <v>29</v>
      </c>
      <c r="E179" s="6" t="s">
        <v>30</v>
      </c>
      <c r="F179" s="6">
        <v>5</v>
      </c>
      <c r="G179" s="6">
        <v>40</v>
      </c>
      <c r="H179" s="6">
        <v>200</v>
      </c>
      <c r="I179" s="7" t="s">
        <v>21</v>
      </c>
    </row>
    <row r="180" spans="1:9" x14ac:dyDescent="0.25">
      <c r="A180" s="4" t="s">
        <v>206</v>
      </c>
      <c r="B180" s="5">
        <v>45704</v>
      </c>
      <c r="C180" s="6" t="s">
        <v>15</v>
      </c>
      <c r="D180" s="6" t="s">
        <v>34</v>
      </c>
      <c r="E180" s="6" t="s">
        <v>35</v>
      </c>
      <c r="F180" s="6">
        <v>2</v>
      </c>
      <c r="G180" s="6">
        <v>60</v>
      </c>
      <c r="H180" s="6">
        <v>120</v>
      </c>
      <c r="I180" s="7" t="s">
        <v>21</v>
      </c>
    </row>
    <row r="181" spans="1:9" x14ac:dyDescent="0.25">
      <c r="A181" s="4" t="s">
        <v>207</v>
      </c>
      <c r="B181" s="5">
        <v>45719</v>
      </c>
      <c r="C181" s="6" t="s">
        <v>15</v>
      </c>
      <c r="D181" s="6" t="s">
        <v>26</v>
      </c>
      <c r="E181" s="6" t="s">
        <v>12</v>
      </c>
      <c r="F181" s="6">
        <v>1</v>
      </c>
      <c r="G181" s="6">
        <v>1800</v>
      </c>
      <c r="H181" s="6">
        <v>1800</v>
      </c>
      <c r="I181" s="7" t="s">
        <v>17</v>
      </c>
    </row>
    <row r="182" spans="1:9" x14ac:dyDescent="0.25">
      <c r="A182" s="4" t="s">
        <v>208</v>
      </c>
      <c r="B182" s="5">
        <v>45721</v>
      </c>
      <c r="C182" s="6" t="s">
        <v>23</v>
      </c>
      <c r="D182" s="6" t="s">
        <v>16</v>
      </c>
      <c r="E182" s="6" t="s">
        <v>12</v>
      </c>
      <c r="F182" s="6">
        <v>5</v>
      </c>
      <c r="G182" s="6">
        <v>1200</v>
      </c>
      <c r="H182" s="6">
        <v>6000</v>
      </c>
      <c r="I182" s="7" t="s">
        <v>13</v>
      </c>
    </row>
    <row r="183" spans="1:9" x14ac:dyDescent="0.25">
      <c r="A183" s="4" t="s">
        <v>209</v>
      </c>
      <c r="B183" s="5">
        <v>45696</v>
      </c>
      <c r="C183" s="6" t="s">
        <v>28</v>
      </c>
      <c r="D183" s="6" t="s">
        <v>34</v>
      </c>
      <c r="E183" s="6" t="s">
        <v>35</v>
      </c>
      <c r="F183" s="6">
        <v>2</v>
      </c>
      <c r="G183" s="6">
        <v>60</v>
      </c>
      <c r="H183" s="6">
        <v>120</v>
      </c>
      <c r="I183" s="7" t="s">
        <v>17</v>
      </c>
    </row>
    <row r="184" spans="1:9" x14ac:dyDescent="0.25">
      <c r="A184" s="4" t="s">
        <v>210</v>
      </c>
      <c r="B184" s="5">
        <v>45684</v>
      </c>
      <c r="C184" s="6" t="s">
        <v>10</v>
      </c>
      <c r="D184" s="6" t="s">
        <v>19</v>
      </c>
      <c r="E184" s="6" t="s">
        <v>20</v>
      </c>
      <c r="F184" s="6">
        <v>3</v>
      </c>
      <c r="G184" s="6">
        <v>1200</v>
      </c>
      <c r="H184" s="6">
        <v>3600</v>
      </c>
      <c r="I184" s="7" t="s">
        <v>21</v>
      </c>
    </row>
    <row r="185" spans="1:9" x14ac:dyDescent="0.25">
      <c r="A185" s="4" t="s">
        <v>211</v>
      </c>
      <c r="B185" s="5">
        <v>45702</v>
      </c>
      <c r="C185" s="6" t="s">
        <v>10</v>
      </c>
      <c r="D185" s="6" t="s">
        <v>32</v>
      </c>
      <c r="E185" s="6" t="s">
        <v>20</v>
      </c>
      <c r="F185" s="6">
        <v>1</v>
      </c>
      <c r="G185" s="6">
        <v>2500</v>
      </c>
      <c r="H185" s="6">
        <v>2500</v>
      </c>
      <c r="I185" s="7" t="s">
        <v>13</v>
      </c>
    </row>
    <row r="186" spans="1:9" x14ac:dyDescent="0.25">
      <c r="A186" s="4" t="s">
        <v>212</v>
      </c>
      <c r="B186" s="5">
        <v>45746</v>
      </c>
      <c r="C186" s="6" t="s">
        <v>28</v>
      </c>
      <c r="D186" s="6" t="s">
        <v>32</v>
      </c>
      <c r="E186" s="6" t="s">
        <v>20</v>
      </c>
      <c r="F186" s="6">
        <v>3</v>
      </c>
      <c r="G186" s="6">
        <v>2500</v>
      </c>
      <c r="H186" s="6">
        <v>7500</v>
      </c>
      <c r="I186" s="7" t="s">
        <v>13</v>
      </c>
    </row>
    <row r="187" spans="1:9" x14ac:dyDescent="0.25">
      <c r="A187" s="4" t="s">
        <v>213</v>
      </c>
      <c r="B187" s="5">
        <v>45739</v>
      </c>
      <c r="C187" s="6" t="s">
        <v>23</v>
      </c>
      <c r="D187" s="6" t="s">
        <v>16</v>
      </c>
      <c r="E187" s="6" t="s">
        <v>12</v>
      </c>
      <c r="F187" s="6">
        <v>2</v>
      </c>
      <c r="G187" s="6">
        <v>1200</v>
      </c>
      <c r="H187" s="6">
        <v>2400</v>
      </c>
      <c r="I187" s="7" t="s">
        <v>17</v>
      </c>
    </row>
    <row r="188" spans="1:9" x14ac:dyDescent="0.25">
      <c r="A188" s="4" t="s">
        <v>214</v>
      </c>
      <c r="B188" s="5">
        <v>45685</v>
      </c>
      <c r="C188" s="6" t="s">
        <v>15</v>
      </c>
      <c r="D188" s="6" t="s">
        <v>26</v>
      </c>
      <c r="E188" s="6" t="s">
        <v>12</v>
      </c>
      <c r="F188" s="6">
        <v>2</v>
      </c>
      <c r="G188" s="6">
        <v>1800</v>
      </c>
      <c r="H188" s="6">
        <v>3600</v>
      </c>
      <c r="I188" s="7" t="s">
        <v>21</v>
      </c>
    </row>
    <row r="189" spans="1:9" x14ac:dyDescent="0.25">
      <c r="A189" s="4" t="s">
        <v>215</v>
      </c>
      <c r="B189" s="5">
        <v>45725</v>
      </c>
      <c r="C189" s="6" t="s">
        <v>15</v>
      </c>
      <c r="D189" s="6" t="s">
        <v>34</v>
      </c>
      <c r="E189" s="6" t="s">
        <v>35</v>
      </c>
      <c r="F189" s="6">
        <v>1</v>
      </c>
      <c r="G189" s="6">
        <v>60</v>
      </c>
      <c r="H189" s="6">
        <v>60</v>
      </c>
      <c r="I189" s="7" t="s">
        <v>17</v>
      </c>
    </row>
    <row r="190" spans="1:9" x14ac:dyDescent="0.25">
      <c r="A190" s="4" t="s">
        <v>216</v>
      </c>
      <c r="B190" s="5">
        <v>45723</v>
      </c>
      <c r="C190" s="6" t="s">
        <v>23</v>
      </c>
      <c r="D190" s="6" t="s">
        <v>29</v>
      </c>
      <c r="E190" s="6" t="s">
        <v>30</v>
      </c>
      <c r="F190" s="6">
        <v>3</v>
      </c>
      <c r="G190" s="6">
        <v>40</v>
      </c>
      <c r="H190" s="6">
        <v>120</v>
      </c>
      <c r="I190" s="7" t="s">
        <v>13</v>
      </c>
    </row>
    <row r="191" spans="1:9" x14ac:dyDescent="0.25">
      <c r="A191" s="4" t="s">
        <v>217</v>
      </c>
      <c r="B191" s="5">
        <v>45675</v>
      </c>
      <c r="C191" s="6" t="s">
        <v>28</v>
      </c>
      <c r="D191" s="6" t="s">
        <v>11</v>
      </c>
      <c r="E191" s="6" t="s">
        <v>12</v>
      </c>
      <c r="F191" s="6">
        <v>4</v>
      </c>
      <c r="G191" s="6">
        <v>3500</v>
      </c>
      <c r="H191" s="6">
        <v>14000</v>
      </c>
      <c r="I191" s="7" t="s">
        <v>17</v>
      </c>
    </row>
    <row r="192" spans="1:9" x14ac:dyDescent="0.25">
      <c r="A192" s="4" t="s">
        <v>218</v>
      </c>
      <c r="B192" s="5">
        <v>45703</v>
      </c>
      <c r="C192" s="6" t="s">
        <v>23</v>
      </c>
      <c r="D192" s="6" t="s">
        <v>40</v>
      </c>
      <c r="E192" s="6" t="s">
        <v>35</v>
      </c>
      <c r="F192" s="6">
        <v>2</v>
      </c>
      <c r="G192" s="6">
        <v>180</v>
      </c>
      <c r="H192" s="6">
        <v>360</v>
      </c>
      <c r="I192" s="7" t="s">
        <v>13</v>
      </c>
    </row>
    <row r="193" spans="1:9" x14ac:dyDescent="0.25">
      <c r="A193" s="4" t="s">
        <v>219</v>
      </c>
      <c r="B193" s="5">
        <v>45737</v>
      </c>
      <c r="C193" s="6" t="s">
        <v>23</v>
      </c>
      <c r="D193" s="6" t="s">
        <v>32</v>
      </c>
      <c r="E193" s="6" t="s">
        <v>20</v>
      </c>
      <c r="F193" s="6">
        <v>4</v>
      </c>
      <c r="G193" s="6">
        <v>2500</v>
      </c>
      <c r="H193" s="6">
        <v>10000</v>
      </c>
      <c r="I193" s="7" t="s">
        <v>17</v>
      </c>
    </row>
    <row r="194" spans="1:9" x14ac:dyDescent="0.25">
      <c r="A194" s="4" t="s">
        <v>220</v>
      </c>
      <c r="B194" s="5">
        <v>45743</v>
      </c>
      <c r="C194" s="6" t="s">
        <v>23</v>
      </c>
      <c r="D194" s="6" t="s">
        <v>16</v>
      </c>
      <c r="E194" s="6" t="s">
        <v>12</v>
      </c>
      <c r="F194" s="6">
        <v>4</v>
      </c>
      <c r="G194" s="6">
        <v>1200</v>
      </c>
      <c r="H194" s="6">
        <v>4800</v>
      </c>
      <c r="I194" s="7" t="s">
        <v>13</v>
      </c>
    </row>
    <row r="195" spans="1:9" x14ac:dyDescent="0.25">
      <c r="A195" s="4" t="s">
        <v>221</v>
      </c>
      <c r="B195" s="5">
        <v>45666</v>
      </c>
      <c r="C195" s="6" t="s">
        <v>10</v>
      </c>
      <c r="D195" s="6" t="s">
        <v>34</v>
      </c>
      <c r="E195" s="6" t="s">
        <v>35</v>
      </c>
      <c r="F195" s="6">
        <v>3</v>
      </c>
      <c r="G195" s="6">
        <v>60</v>
      </c>
      <c r="H195" s="6">
        <v>180</v>
      </c>
      <c r="I195" s="7" t="s">
        <v>21</v>
      </c>
    </row>
    <row r="196" spans="1:9" x14ac:dyDescent="0.25">
      <c r="A196" s="4" t="s">
        <v>222</v>
      </c>
      <c r="B196" s="5">
        <v>45715</v>
      </c>
      <c r="C196" s="6" t="s">
        <v>28</v>
      </c>
      <c r="D196" s="6" t="s">
        <v>11</v>
      </c>
      <c r="E196" s="6" t="s">
        <v>12</v>
      </c>
      <c r="F196" s="6">
        <v>5</v>
      </c>
      <c r="G196" s="6">
        <v>3500</v>
      </c>
      <c r="H196" s="6">
        <v>17500</v>
      </c>
      <c r="I196" s="7" t="s">
        <v>21</v>
      </c>
    </row>
    <row r="197" spans="1:9" x14ac:dyDescent="0.25">
      <c r="A197" s="4" t="s">
        <v>223</v>
      </c>
      <c r="B197" s="5">
        <v>45747</v>
      </c>
      <c r="C197" s="6" t="s">
        <v>15</v>
      </c>
      <c r="D197" s="6" t="s">
        <v>29</v>
      </c>
      <c r="E197" s="6" t="s">
        <v>30</v>
      </c>
      <c r="F197" s="6">
        <v>3</v>
      </c>
      <c r="G197" s="6">
        <v>40</v>
      </c>
      <c r="H197" s="6">
        <v>120</v>
      </c>
      <c r="I197" s="7" t="s">
        <v>17</v>
      </c>
    </row>
    <row r="198" spans="1:9" x14ac:dyDescent="0.25">
      <c r="A198" s="4" t="s">
        <v>224</v>
      </c>
      <c r="B198" s="5">
        <v>45718</v>
      </c>
      <c r="C198" s="6" t="s">
        <v>15</v>
      </c>
      <c r="D198" s="6" t="s">
        <v>32</v>
      </c>
      <c r="E198" s="6" t="s">
        <v>20</v>
      </c>
      <c r="F198" s="6">
        <v>3</v>
      </c>
      <c r="G198" s="6">
        <v>2500</v>
      </c>
      <c r="H198" s="6">
        <v>7500</v>
      </c>
      <c r="I198" s="7" t="s">
        <v>13</v>
      </c>
    </row>
    <row r="199" spans="1:9" x14ac:dyDescent="0.25">
      <c r="A199" s="4" t="s">
        <v>225</v>
      </c>
      <c r="B199" s="5">
        <v>45664</v>
      </c>
      <c r="C199" s="6" t="s">
        <v>23</v>
      </c>
      <c r="D199" s="6" t="s">
        <v>11</v>
      </c>
      <c r="E199" s="6" t="s">
        <v>12</v>
      </c>
      <c r="F199" s="6">
        <v>2</v>
      </c>
      <c r="G199" s="6">
        <v>3500</v>
      </c>
      <c r="H199" s="6">
        <v>7000</v>
      </c>
      <c r="I199" s="7" t="s">
        <v>21</v>
      </c>
    </row>
    <row r="200" spans="1:9" x14ac:dyDescent="0.25">
      <c r="A200" s="4" t="s">
        <v>226</v>
      </c>
      <c r="B200" s="5">
        <v>45685</v>
      </c>
      <c r="C200" s="6" t="s">
        <v>10</v>
      </c>
      <c r="D200" s="6" t="s">
        <v>16</v>
      </c>
      <c r="E200" s="6" t="s">
        <v>12</v>
      </c>
      <c r="F200" s="6">
        <v>4</v>
      </c>
      <c r="G200" s="6">
        <v>1200</v>
      </c>
      <c r="H200" s="6">
        <v>4800</v>
      </c>
      <c r="I200" s="7" t="s">
        <v>21</v>
      </c>
    </row>
    <row r="201" spans="1:9" x14ac:dyDescent="0.25">
      <c r="A201" s="4" t="s">
        <v>227</v>
      </c>
      <c r="B201" s="5">
        <v>45713</v>
      </c>
      <c r="C201" s="6" t="s">
        <v>15</v>
      </c>
      <c r="D201" s="6" t="s">
        <v>26</v>
      </c>
      <c r="E201" s="6" t="s">
        <v>12</v>
      </c>
      <c r="F201" s="6">
        <v>4</v>
      </c>
      <c r="G201" s="6">
        <v>1800</v>
      </c>
      <c r="H201" s="6">
        <v>7200</v>
      </c>
      <c r="I201" s="7" t="s">
        <v>21</v>
      </c>
    </row>
    <row r="202" spans="1:9" x14ac:dyDescent="0.25">
      <c r="A202" s="4" t="s">
        <v>228</v>
      </c>
      <c r="B202" s="5">
        <v>45693</v>
      </c>
      <c r="C202" s="6" t="s">
        <v>15</v>
      </c>
      <c r="D202" s="6" t="s">
        <v>16</v>
      </c>
      <c r="E202" s="6" t="s">
        <v>12</v>
      </c>
      <c r="F202" s="6">
        <v>4</v>
      </c>
      <c r="G202" s="6">
        <v>1200</v>
      </c>
      <c r="H202" s="6">
        <v>4800</v>
      </c>
      <c r="I202" s="7" t="s">
        <v>13</v>
      </c>
    </row>
    <row r="203" spans="1:9" x14ac:dyDescent="0.25">
      <c r="A203" s="4" t="s">
        <v>229</v>
      </c>
      <c r="B203" s="5">
        <v>45661</v>
      </c>
      <c r="C203" s="6" t="s">
        <v>10</v>
      </c>
      <c r="D203" s="6" t="s">
        <v>40</v>
      </c>
      <c r="E203" s="6" t="s">
        <v>35</v>
      </c>
      <c r="F203" s="6">
        <v>5</v>
      </c>
      <c r="G203" s="6">
        <v>180</v>
      </c>
      <c r="H203" s="6">
        <v>900</v>
      </c>
      <c r="I203" s="7" t="s">
        <v>17</v>
      </c>
    </row>
    <row r="204" spans="1:9" x14ac:dyDescent="0.25">
      <c r="A204" s="4" t="s">
        <v>230</v>
      </c>
      <c r="B204" s="5">
        <v>45678</v>
      </c>
      <c r="C204" s="6" t="s">
        <v>10</v>
      </c>
      <c r="D204" s="6" t="s">
        <v>40</v>
      </c>
      <c r="E204" s="6" t="s">
        <v>35</v>
      </c>
      <c r="F204" s="6">
        <v>1</v>
      </c>
      <c r="G204" s="6">
        <v>180</v>
      </c>
      <c r="H204" s="6">
        <v>180</v>
      </c>
      <c r="I204" s="7" t="s">
        <v>13</v>
      </c>
    </row>
    <row r="205" spans="1:9" x14ac:dyDescent="0.25">
      <c r="A205" s="4" t="s">
        <v>231</v>
      </c>
      <c r="B205" s="5">
        <v>45722</v>
      </c>
      <c r="C205" s="6" t="s">
        <v>23</v>
      </c>
      <c r="D205" s="6" t="s">
        <v>32</v>
      </c>
      <c r="E205" s="6" t="s">
        <v>20</v>
      </c>
      <c r="F205" s="6">
        <v>5</v>
      </c>
      <c r="G205" s="6">
        <v>2500</v>
      </c>
      <c r="H205" s="6">
        <v>12500</v>
      </c>
      <c r="I205" s="7" t="s">
        <v>13</v>
      </c>
    </row>
    <row r="206" spans="1:9" x14ac:dyDescent="0.25">
      <c r="A206" s="4" t="s">
        <v>232</v>
      </c>
      <c r="B206" s="5">
        <v>45742</v>
      </c>
      <c r="C206" s="6" t="s">
        <v>23</v>
      </c>
      <c r="D206" s="6" t="s">
        <v>40</v>
      </c>
      <c r="E206" s="6" t="s">
        <v>35</v>
      </c>
      <c r="F206" s="6">
        <v>4</v>
      </c>
      <c r="G206" s="6">
        <v>180</v>
      </c>
      <c r="H206" s="6">
        <v>720</v>
      </c>
      <c r="I206" s="7" t="s">
        <v>21</v>
      </c>
    </row>
    <row r="207" spans="1:9" x14ac:dyDescent="0.25">
      <c r="A207" s="4" t="s">
        <v>233</v>
      </c>
      <c r="B207" s="5">
        <v>45735</v>
      </c>
      <c r="C207" s="6" t="s">
        <v>23</v>
      </c>
      <c r="D207" s="6" t="s">
        <v>32</v>
      </c>
      <c r="E207" s="6" t="s">
        <v>20</v>
      </c>
      <c r="F207" s="6">
        <v>4</v>
      </c>
      <c r="G207" s="6">
        <v>2500</v>
      </c>
      <c r="H207" s="6">
        <v>10000</v>
      </c>
      <c r="I207" s="7" t="s">
        <v>17</v>
      </c>
    </row>
    <row r="208" spans="1:9" x14ac:dyDescent="0.25">
      <c r="A208" s="4" t="s">
        <v>234</v>
      </c>
      <c r="B208" s="5">
        <v>45665</v>
      </c>
      <c r="C208" s="6" t="s">
        <v>15</v>
      </c>
      <c r="D208" s="6" t="s">
        <v>11</v>
      </c>
      <c r="E208" s="6" t="s">
        <v>12</v>
      </c>
      <c r="F208" s="6">
        <v>2</v>
      </c>
      <c r="G208" s="6">
        <v>3500</v>
      </c>
      <c r="H208" s="6">
        <v>7000</v>
      </c>
      <c r="I208" s="7" t="s">
        <v>17</v>
      </c>
    </row>
    <row r="209" spans="1:9" x14ac:dyDescent="0.25">
      <c r="A209" s="4" t="s">
        <v>235</v>
      </c>
      <c r="B209" s="5">
        <v>45712</v>
      </c>
      <c r="C209" s="6" t="s">
        <v>23</v>
      </c>
      <c r="D209" s="6" t="s">
        <v>19</v>
      </c>
      <c r="E209" s="6" t="s">
        <v>20</v>
      </c>
      <c r="F209" s="6">
        <v>4</v>
      </c>
      <c r="G209" s="6">
        <v>1200</v>
      </c>
      <c r="H209" s="6">
        <v>4800</v>
      </c>
      <c r="I209" s="7" t="s">
        <v>17</v>
      </c>
    </row>
    <row r="210" spans="1:9" x14ac:dyDescent="0.25">
      <c r="A210" s="4" t="s">
        <v>236</v>
      </c>
      <c r="B210" s="5">
        <v>45673</v>
      </c>
      <c r="C210" s="6" t="s">
        <v>15</v>
      </c>
      <c r="D210" s="6" t="s">
        <v>26</v>
      </c>
      <c r="E210" s="6" t="s">
        <v>12</v>
      </c>
      <c r="F210" s="6">
        <v>5</v>
      </c>
      <c r="G210" s="6">
        <v>1800</v>
      </c>
      <c r="H210" s="6">
        <v>9000</v>
      </c>
      <c r="I210" s="7" t="s">
        <v>13</v>
      </c>
    </row>
    <row r="211" spans="1:9" x14ac:dyDescent="0.25">
      <c r="A211" s="4" t="s">
        <v>237</v>
      </c>
      <c r="B211" s="5">
        <v>45698</v>
      </c>
      <c r="C211" s="6" t="s">
        <v>23</v>
      </c>
      <c r="D211" s="6" t="s">
        <v>11</v>
      </c>
      <c r="E211" s="6" t="s">
        <v>12</v>
      </c>
      <c r="F211" s="6">
        <v>4</v>
      </c>
      <c r="G211" s="6">
        <v>3500</v>
      </c>
      <c r="H211" s="6">
        <v>14000</v>
      </c>
      <c r="I211" s="7" t="s">
        <v>17</v>
      </c>
    </row>
    <row r="212" spans="1:9" x14ac:dyDescent="0.25">
      <c r="A212" s="4" t="s">
        <v>238</v>
      </c>
      <c r="B212" s="5">
        <v>45697</v>
      </c>
      <c r="C212" s="6" t="s">
        <v>15</v>
      </c>
      <c r="D212" s="6" t="s">
        <v>32</v>
      </c>
      <c r="E212" s="6" t="s">
        <v>20</v>
      </c>
      <c r="F212" s="6">
        <v>1</v>
      </c>
      <c r="G212" s="6">
        <v>2500</v>
      </c>
      <c r="H212" s="6">
        <v>2500</v>
      </c>
      <c r="I212" s="7" t="s">
        <v>13</v>
      </c>
    </row>
    <row r="213" spans="1:9" x14ac:dyDescent="0.25">
      <c r="A213" s="4" t="s">
        <v>239</v>
      </c>
      <c r="B213" s="5">
        <v>45692</v>
      </c>
      <c r="C213" s="6" t="s">
        <v>28</v>
      </c>
      <c r="D213" s="6" t="s">
        <v>40</v>
      </c>
      <c r="E213" s="6" t="s">
        <v>35</v>
      </c>
      <c r="F213" s="6">
        <v>5</v>
      </c>
      <c r="G213" s="6">
        <v>180</v>
      </c>
      <c r="H213" s="6">
        <v>900</v>
      </c>
      <c r="I213" s="7" t="s">
        <v>17</v>
      </c>
    </row>
    <row r="214" spans="1:9" x14ac:dyDescent="0.25">
      <c r="A214" s="4" t="s">
        <v>240</v>
      </c>
      <c r="B214" s="5">
        <v>45720</v>
      </c>
      <c r="C214" s="6" t="s">
        <v>28</v>
      </c>
      <c r="D214" s="6" t="s">
        <v>40</v>
      </c>
      <c r="E214" s="6" t="s">
        <v>35</v>
      </c>
      <c r="F214" s="6">
        <v>4</v>
      </c>
      <c r="G214" s="6">
        <v>180</v>
      </c>
      <c r="H214" s="6">
        <v>720</v>
      </c>
      <c r="I214" s="7" t="s">
        <v>13</v>
      </c>
    </row>
    <row r="215" spans="1:9" x14ac:dyDescent="0.25">
      <c r="A215" s="4" t="s">
        <v>241</v>
      </c>
      <c r="B215" s="5">
        <v>45671</v>
      </c>
      <c r="C215" s="6" t="s">
        <v>23</v>
      </c>
      <c r="D215" s="6" t="s">
        <v>26</v>
      </c>
      <c r="E215" s="6" t="s">
        <v>12</v>
      </c>
      <c r="F215" s="6">
        <v>2</v>
      </c>
      <c r="G215" s="6">
        <v>1800</v>
      </c>
      <c r="H215" s="6">
        <v>3600</v>
      </c>
      <c r="I215" s="7" t="s">
        <v>13</v>
      </c>
    </row>
    <row r="216" spans="1:9" x14ac:dyDescent="0.25">
      <c r="A216" s="4" t="s">
        <v>242</v>
      </c>
      <c r="B216" s="5">
        <v>45741</v>
      </c>
      <c r="C216" s="6" t="s">
        <v>28</v>
      </c>
      <c r="D216" s="6" t="s">
        <v>40</v>
      </c>
      <c r="E216" s="6" t="s">
        <v>35</v>
      </c>
      <c r="F216" s="6">
        <v>2</v>
      </c>
      <c r="G216" s="6">
        <v>180</v>
      </c>
      <c r="H216" s="6">
        <v>360</v>
      </c>
      <c r="I216" s="7" t="s">
        <v>17</v>
      </c>
    </row>
    <row r="217" spans="1:9" x14ac:dyDescent="0.25">
      <c r="A217" s="4" t="s">
        <v>243</v>
      </c>
      <c r="B217" s="5">
        <v>45697</v>
      </c>
      <c r="C217" s="6" t="s">
        <v>15</v>
      </c>
      <c r="D217" s="6" t="s">
        <v>11</v>
      </c>
      <c r="E217" s="6" t="s">
        <v>12</v>
      </c>
      <c r="F217" s="6">
        <v>2</v>
      </c>
      <c r="G217" s="6">
        <v>3500</v>
      </c>
      <c r="H217" s="6">
        <v>7000</v>
      </c>
      <c r="I217" s="7" t="s">
        <v>21</v>
      </c>
    </row>
    <row r="218" spans="1:9" x14ac:dyDescent="0.25">
      <c r="A218" s="4" t="s">
        <v>244</v>
      </c>
      <c r="B218" s="5">
        <v>45707</v>
      </c>
      <c r="C218" s="6" t="s">
        <v>15</v>
      </c>
      <c r="D218" s="6" t="s">
        <v>40</v>
      </c>
      <c r="E218" s="6" t="s">
        <v>35</v>
      </c>
      <c r="F218" s="6">
        <v>5</v>
      </c>
      <c r="G218" s="6">
        <v>180</v>
      </c>
      <c r="H218" s="6">
        <v>900</v>
      </c>
      <c r="I218" s="7" t="s">
        <v>17</v>
      </c>
    </row>
    <row r="219" spans="1:9" x14ac:dyDescent="0.25">
      <c r="A219" s="4" t="s">
        <v>245</v>
      </c>
      <c r="B219" s="5">
        <v>45663</v>
      </c>
      <c r="C219" s="6" t="s">
        <v>28</v>
      </c>
      <c r="D219" s="6" t="s">
        <v>32</v>
      </c>
      <c r="E219" s="6" t="s">
        <v>20</v>
      </c>
      <c r="F219" s="6">
        <v>3</v>
      </c>
      <c r="G219" s="6">
        <v>2500</v>
      </c>
      <c r="H219" s="6">
        <v>7500</v>
      </c>
      <c r="I219" s="7" t="s">
        <v>13</v>
      </c>
    </row>
    <row r="220" spans="1:9" x14ac:dyDescent="0.25">
      <c r="A220" s="4" t="s">
        <v>246</v>
      </c>
      <c r="B220" s="5">
        <v>45684</v>
      </c>
      <c r="C220" s="6" t="s">
        <v>28</v>
      </c>
      <c r="D220" s="6" t="s">
        <v>29</v>
      </c>
      <c r="E220" s="6" t="s">
        <v>30</v>
      </c>
      <c r="F220" s="6">
        <v>1</v>
      </c>
      <c r="G220" s="6">
        <v>40</v>
      </c>
      <c r="H220" s="6">
        <v>40</v>
      </c>
      <c r="I220" s="7" t="s">
        <v>17</v>
      </c>
    </row>
    <row r="221" spans="1:9" x14ac:dyDescent="0.25">
      <c r="A221" s="4" t="s">
        <v>247</v>
      </c>
      <c r="B221" s="5">
        <v>45681</v>
      </c>
      <c r="C221" s="6" t="s">
        <v>10</v>
      </c>
      <c r="D221" s="6" t="s">
        <v>19</v>
      </c>
      <c r="E221" s="6" t="s">
        <v>20</v>
      </c>
      <c r="F221" s="6">
        <v>3</v>
      </c>
      <c r="G221" s="6">
        <v>1200</v>
      </c>
      <c r="H221" s="6">
        <v>3600</v>
      </c>
      <c r="I221" s="7" t="s">
        <v>17</v>
      </c>
    </row>
    <row r="222" spans="1:9" x14ac:dyDescent="0.25">
      <c r="A222" s="4" t="s">
        <v>248</v>
      </c>
      <c r="B222" s="5">
        <v>45688</v>
      </c>
      <c r="C222" s="6" t="s">
        <v>23</v>
      </c>
      <c r="D222" s="6" t="s">
        <v>26</v>
      </c>
      <c r="E222" s="6" t="s">
        <v>12</v>
      </c>
      <c r="F222" s="6">
        <v>5</v>
      </c>
      <c r="G222" s="6">
        <v>1800</v>
      </c>
      <c r="H222" s="6">
        <v>9000</v>
      </c>
      <c r="I222" s="7" t="s">
        <v>13</v>
      </c>
    </row>
    <row r="223" spans="1:9" x14ac:dyDescent="0.25">
      <c r="A223" s="4" t="s">
        <v>249</v>
      </c>
      <c r="B223" s="5">
        <v>45717</v>
      </c>
      <c r="C223" s="6" t="s">
        <v>23</v>
      </c>
      <c r="D223" s="6" t="s">
        <v>26</v>
      </c>
      <c r="E223" s="6" t="s">
        <v>12</v>
      </c>
      <c r="F223" s="6">
        <v>3</v>
      </c>
      <c r="G223" s="6">
        <v>1800</v>
      </c>
      <c r="H223" s="6">
        <v>5400</v>
      </c>
      <c r="I223" s="7" t="s">
        <v>21</v>
      </c>
    </row>
    <row r="224" spans="1:9" x14ac:dyDescent="0.25">
      <c r="A224" s="4" t="s">
        <v>250</v>
      </c>
      <c r="B224" s="5">
        <v>45747</v>
      </c>
      <c r="C224" s="6" t="s">
        <v>23</v>
      </c>
      <c r="D224" s="6" t="s">
        <v>34</v>
      </c>
      <c r="E224" s="6" t="s">
        <v>35</v>
      </c>
      <c r="F224" s="6">
        <v>5</v>
      </c>
      <c r="G224" s="6">
        <v>60</v>
      </c>
      <c r="H224" s="6">
        <v>300</v>
      </c>
      <c r="I224" s="7" t="s">
        <v>21</v>
      </c>
    </row>
    <row r="225" spans="1:9" x14ac:dyDescent="0.25">
      <c r="A225" s="4" t="s">
        <v>251</v>
      </c>
      <c r="B225" s="5">
        <v>45717</v>
      </c>
      <c r="C225" s="6" t="s">
        <v>28</v>
      </c>
      <c r="D225" s="6" t="s">
        <v>16</v>
      </c>
      <c r="E225" s="6" t="s">
        <v>12</v>
      </c>
      <c r="F225" s="6">
        <v>1</v>
      </c>
      <c r="G225" s="6">
        <v>1200</v>
      </c>
      <c r="H225" s="6">
        <v>1200</v>
      </c>
      <c r="I225" s="7" t="s">
        <v>17</v>
      </c>
    </row>
    <row r="226" spans="1:9" x14ac:dyDescent="0.25">
      <c r="A226" s="4" t="s">
        <v>252</v>
      </c>
      <c r="B226" s="5">
        <v>45707</v>
      </c>
      <c r="C226" s="6" t="s">
        <v>23</v>
      </c>
      <c r="D226" s="6" t="s">
        <v>26</v>
      </c>
      <c r="E226" s="6" t="s">
        <v>12</v>
      </c>
      <c r="F226" s="6">
        <v>2</v>
      </c>
      <c r="G226" s="6">
        <v>1800</v>
      </c>
      <c r="H226" s="6">
        <v>3600</v>
      </c>
      <c r="I226" s="7" t="s">
        <v>17</v>
      </c>
    </row>
    <row r="227" spans="1:9" x14ac:dyDescent="0.25">
      <c r="A227" s="4" t="s">
        <v>253</v>
      </c>
      <c r="B227" s="5">
        <v>45671</v>
      </c>
      <c r="C227" s="6" t="s">
        <v>10</v>
      </c>
      <c r="D227" s="6" t="s">
        <v>40</v>
      </c>
      <c r="E227" s="6" t="s">
        <v>35</v>
      </c>
      <c r="F227" s="6">
        <v>4</v>
      </c>
      <c r="G227" s="6">
        <v>180</v>
      </c>
      <c r="H227" s="6">
        <v>720</v>
      </c>
      <c r="I227" s="7" t="s">
        <v>17</v>
      </c>
    </row>
    <row r="228" spans="1:9" x14ac:dyDescent="0.25">
      <c r="A228" s="4" t="s">
        <v>254</v>
      </c>
      <c r="B228" s="5">
        <v>45686</v>
      </c>
      <c r="C228" s="6" t="s">
        <v>10</v>
      </c>
      <c r="D228" s="6" t="s">
        <v>19</v>
      </c>
      <c r="E228" s="6" t="s">
        <v>20</v>
      </c>
      <c r="F228" s="6">
        <v>5</v>
      </c>
      <c r="G228" s="6">
        <v>1200</v>
      </c>
      <c r="H228" s="6">
        <v>6000</v>
      </c>
      <c r="I228" s="7" t="s">
        <v>13</v>
      </c>
    </row>
    <row r="229" spans="1:9" x14ac:dyDescent="0.25">
      <c r="A229" s="4" t="s">
        <v>255</v>
      </c>
      <c r="B229" s="5">
        <v>45707</v>
      </c>
      <c r="C229" s="6" t="s">
        <v>15</v>
      </c>
      <c r="D229" s="6" t="s">
        <v>11</v>
      </c>
      <c r="E229" s="6" t="s">
        <v>12</v>
      </c>
      <c r="F229" s="6">
        <v>2</v>
      </c>
      <c r="G229" s="6">
        <v>3500</v>
      </c>
      <c r="H229" s="6">
        <v>7000</v>
      </c>
      <c r="I229" s="7" t="s">
        <v>17</v>
      </c>
    </row>
    <row r="230" spans="1:9" x14ac:dyDescent="0.25">
      <c r="A230" s="4" t="s">
        <v>256</v>
      </c>
      <c r="B230" s="5">
        <v>45689</v>
      </c>
      <c r="C230" s="6" t="s">
        <v>15</v>
      </c>
      <c r="D230" s="6" t="s">
        <v>40</v>
      </c>
      <c r="E230" s="6" t="s">
        <v>35</v>
      </c>
      <c r="F230" s="6">
        <v>2</v>
      </c>
      <c r="G230" s="6">
        <v>180</v>
      </c>
      <c r="H230" s="6">
        <v>360</v>
      </c>
      <c r="I230" s="7" t="s">
        <v>21</v>
      </c>
    </row>
    <row r="231" spans="1:9" x14ac:dyDescent="0.25">
      <c r="A231" s="4" t="s">
        <v>257</v>
      </c>
      <c r="B231" s="5">
        <v>45694</v>
      </c>
      <c r="C231" s="6" t="s">
        <v>15</v>
      </c>
      <c r="D231" s="6" t="s">
        <v>19</v>
      </c>
      <c r="E231" s="6" t="s">
        <v>20</v>
      </c>
      <c r="F231" s="6">
        <v>5</v>
      </c>
      <c r="G231" s="6">
        <v>1200</v>
      </c>
      <c r="H231" s="6">
        <v>6000</v>
      </c>
      <c r="I231" s="7" t="s">
        <v>13</v>
      </c>
    </row>
    <row r="232" spans="1:9" x14ac:dyDescent="0.25">
      <c r="A232" s="4" t="s">
        <v>258</v>
      </c>
      <c r="B232" s="5">
        <v>45702</v>
      </c>
      <c r="C232" s="6" t="s">
        <v>28</v>
      </c>
      <c r="D232" s="6" t="s">
        <v>11</v>
      </c>
      <c r="E232" s="6" t="s">
        <v>12</v>
      </c>
      <c r="F232" s="6">
        <v>4</v>
      </c>
      <c r="G232" s="6">
        <v>3500</v>
      </c>
      <c r="H232" s="6">
        <v>14000</v>
      </c>
      <c r="I232" s="7" t="s">
        <v>17</v>
      </c>
    </row>
    <row r="233" spans="1:9" x14ac:dyDescent="0.25">
      <c r="A233" s="4" t="s">
        <v>259</v>
      </c>
      <c r="B233" s="5">
        <v>45746</v>
      </c>
      <c r="C233" s="6" t="s">
        <v>15</v>
      </c>
      <c r="D233" s="6" t="s">
        <v>19</v>
      </c>
      <c r="E233" s="6" t="s">
        <v>20</v>
      </c>
      <c r="F233" s="6">
        <v>1</v>
      </c>
      <c r="G233" s="6">
        <v>1200</v>
      </c>
      <c r="H233" s="6">
        <v>1200</v>
      </c>
      <c r="I233" s="7" t="s">
        <v>13</v>
      </c>
    </row>
    <row r="234" spans="1:9" x14ac:dyDescent="0.25">
      <c r="A234" s="4" t="s">
        <v>260</v>
      </c>
      <c r="B234" s="5">
        <v>45674</v>
      </c>
      <c r="C234" s="6" t="s">
        <v>15</v>
      </c>
      <c r="D234" s="6" t="s">
        <v>16</v>
      </c>
      <c r="E234" s="6" t="s">
        <v>12</v>
      </c>
      <c r="F234" s="6">
        <v>3</v>
      </c>
      <c r="G234" s="6">
        <v>1200</v>
      </c>
      <c r="H234" s="6">
        <v>3600</v>
      </c>
      <c r="I234" s="7" t="s">
        <v>17</v>
      </c>
    </row>
    <row r="235" spans="1:9" x14ac:dyDescent="0.25">
      <c r="A235" s="4" t="s">
        <v>261</v>
      </c>
      <c r="B235" s="5">
        <v>45696</v>
      </c>
      <c r="C235" s="6" t="s">
        <v>15</v>
      </c>
      <c r="D235" s="6" t="s">
        <v>16</v>
      </c>
      <c r="E235" s="6" t="s">
        <v>12</v>
      </c>
      <c r="F235" s="6">
        <v>2</v>
      </c>
      <c r="G235" s="6">
        <v>1200</v>
      </c>
      <c r="H235" s="6">
        <v>2400</v>
      </c>
      <c r="I235" s="7" t="s">
        <v>13</v>
      </c>
    </row>
    <row r="236" spans="1:9" x14ac:dyDescent="0.25">
      <c r="A236" s="4" t="s">
        <v>262</v>
      </c>
      <c r="B236" s="5">
        <v>45694</v>
      </c>
      <c r="C236" s="6" t="s">
        <v>15</v>
      </c>
      <c r="D236" s="6" t="s">
        <v>40</v>
      </c>
      <c r="E236" s="6" t="s">
        <v>35</v>
      </c>
      <c r="F236" s="6">
        <v>5</v>
      </c>
      <c r="G236" s="6">
        <v>180</v>
      </c>
      <c r="H236" s="6">
        <v>900</v>
      </c>
      <c r="I236" s="7" t="s">
        <v>13</v>
      </c>
    </row>
    <row r="237" spans="1:9" x14ac:dyDescent="0.25">
      <c r="A237" s="4" t="s">
        <v>263</v>
      </c>
      <c r="B237" s="5">
        <v>45699</v>
      </c>
      <c r="C237" s="6" t="s">
        <v>23</v>
      </c>
      <c r="D237" s="6" t="s">
        <v>11</v>
      </c>
      <c r="E237" s="6" t="s">
        <v>12</v>
      </c>
      <c r="F237" s="6">
        <v>5</v>
      </c>
      <c r="G237" s="6">
        <v>3500</v>
      </c>
      <c r="H237" s="6">
        <v>17500</v>
      </c>
      <c r="I237" s="7" t="s">
        <v>13</v>
      </c>
    </row>
    <row r="238" spans="1:9" x14ac:dyDescent="0.25">
      <c r="A238" s="4" t="s">
        <v>264</v>
      </c>
      <c r="B238" s="5">
        <v>45677</v>
      </c>
      <c r="C238" s="6" t="s">
        <v>15</v>
      </c>
      <c r="D238" s="6" t="s">
        <v>11</v>
      </c>
      <c r="E238" s="6" t="s">
        <v>12</v>
      </c>
      <c r="F238" s="6">
        <v>5</v>
      </c>
      <c r="G238" s="6">
        <v>3500</v>
      </c>
      <c r="H238" s="6">
        <v>17500</v>
      </c>
      <c r="I238" s="7" t="s">
        <v>13</v>
      </c>
    </row>
    <row r="239" spans="1:9" x14ac:dyDescent="0.25">
      <c r="A239" s="4" t="s">
        <v>265</v>
      </c>
      <c r="B239" s="5">
        <v>45730</v>
      </c>
      <c r="C239" s="6" t="s">
        <v>23</v>
      </c>
      <c r="D239" s="6" t="s">
        <v>26</v>
      </c>
      <c r="E239" s="6" t="s">
        <v>12</v>
      </c>
      <c r="F239" s="6">
        <v>2</v>
      </c>
      <c r="G239" s="6">
        <v>1800</v>
      </c>
      <c r="H239" s="6">
        <v>3600</v>
      </c>
      <c r="I239" s="7" t="s">
        <v>13</v>
      </c>
    </row>
    <row r="240" spans="1:9" x14ac:dyDescent="0.25">
      <c r="A240" s="4" t="s">
        <v>266</v>
      </c>
      <c r="B240" s="5">
        <v>45703</v>
      </c>
      <c r="C240" s="6" t="s">
        <v>15</v>
      </c>
      <c r="D240" s="6" t="s">
        <v>29</v>
      </c>
      <c r="E240" s="6" t="s">
        <v>30</v>
      </c>
      <c r="F240" s="6">
        <v>2</v>
      </c>
      <c r="G240" s="6">
        <v>40</v>
      </c>
      <c r="H240" s="6">
        <v>80</v>
      </c>
      <c r="I240" s="7" t="s">
        <v>13</v>
      </c>
    </row>
    <row r="241" spans="1:9" x14ac:dyDescent="0.25">
      <c r="A241" s="4" t="s">
        <v>267</v>
      </c>
      <c r="B241" s="5">
        <v>45663</v>
      </c>
      <c r="C241" s="6" t="s">
        <v>15</v>
      </c>
      <c r="D241" s="6" t="s">
        <v>19</v>
      </c>
      <c r="E241" s="6" t="s">
        <v>20</v>
      </c>
      <c r="F241" s="6">
        <v>3</v>
      </c>
      <c r="G241" s="6">
        <v>1200</v>
      </c>
      <c r="H241" s="6">
        <v>3600</v>
      </c>
      <c r="I241" s="7" t="s">
        <v>13</v>
      </c>
    </row>
    <row r="242" spans="1:9" x14ac:dyDescent="0.25">
      <c r="A242" s="4" t="s">
        <v>268</v>
      </c>
      <c r="B242" s="5">
        <v>45733</v>
      </c>
      <c r="C242" s="6" t="s">
        <v>28</v>
      </c>
      <c r="D242" s="6" t="s">
        <v>34</v>
      </c>
      <c r="E242" s="6" t="s">
        <v>35</v>
      </c>
      <c r="F242" s="6">
        <v>5</v>
      </c>
      <c r="G242" s="6">
        <v>60</v>
      </c>
      <c r="H242" s="6">
        <v>300</v>
      </c>
      <c r="I242" s="7" t="s">
        <v>21</v>
      </c>
    </row>
    <row r="243" spans="1:9" x14ac:dyDescent="0.25">
      <c r="A243" s="4" t="s">
        <v>269</v>
      </c>
      <c r="B243" s="5">
        <v>45662</v>
      </c>
      <c r="C243" s="6" t="s">
        <v>15</v>
      </c>
      <c r="D243" s="6" t="s">
        <v>34</v>
      </c>
      <c r="E243" s="6" t="s">
        <v>35</v>
      </c>
      <c r="F243" s="6">
        <v>1</v>
      </c>
      <c r="G243" s="6">
        <v>60</v>
      </c>
      <c r="H243" s="6">
        <v>60</v>
      </c>
      <c r="I243" s="7" t="s">
        <v>17</v>
      </c>
    </row>
    <row r="244" spans="1:9" x14ac:dyDescent="0.25">
      <c r="A244" s="4" t="s">
        <v>270</v>
      </c>
      <c r="B244" s="5">
        <v>45667</v>
      </c>
      <c r="C244" s="6" t="s">
        <v>15</v>
      </c>
      <c r="D244" s="6" t="s">
        <v>40</v>
      </c>
      <c r="E244" s="6" t="s">
        <v>35</v>
      </c>
      <c r="F244" s="6">
        <v>4</v>
      </c>
      <c r="G244" s="6">
        <v>180</v>
      </c>
      <c r="H244" s="6">
        <v>720</v>
      </c>
      <c r="I244" s="7" t="s">
        <v>17</v>
      </c>
    </row>
    <row r="245" spans="1:9" x14ac:dyDescent="0.25">
      <c r="A245" s="4" t="s">
        <v>271</v>
      </c>
      <c r="B245" s="5">
        <v>45730</v>
      </c>
      <c r="C245" s="6" t="s">
        <v>15</v>
      </c>
      <c r="D245" s="6" t="s">
        <v>11</v>
      </c>
      <c r="E245" s="6" t="s">
        <v>12</v>
      </c>
      <c r="F245" s="6">
        <v>2</v>
      </c>
      <c r="G245" s="6">
        <v>3500</v>
      </c>
      <c r="H245" s="6">
        <v>7000</v>
      </c>
      <c r="I245" s="7" t="s">
        <v>13</v>
      </c>
    </row>
    <row r="246" spans="1:9" x14ac:dyDescent="0.25">
      <c r="A246" s="4" t="s">
        <v>272</v>
      </c>
      <c r="B246" s="5">
        <v>45748</v>
      </c>
      <c r="C246" s="6" t="s">
        <v>23</v>
      </c>
      <c r="D246" s="6" t="s">
        <v>40</v>
      </c>
      <c r="E246" s="6" t="s">
        <v>35</v>
      </c>
      <c r="F246" s="6">
        <v>3</v>
      </c>
      <c r="G246" s="6">
        <v>180</v>
      </c>
      <c r="H246" s="6">
        <v>540</v>
      </c>
      <c r="I246" s="7" t="s">
        <v>21</v>
      </c>
    </row>
    <row r="247" spans="1:9" x14ac:dyDescent="0.25">
      <c r="A247" s="4" t="s">
        <v>273</v>
      </c>
      <c r="B247" s="5">
        <v>45676</v>
      </c>
      <c r="C247" s="6" t="s">
        <v>15</v>
      </c>
      <c r="D247" s="6" t="s">
        <v>19</v>
      </c>
      <c r="E247" s="6" t="s">
        <v>20</v>
      </c>
      <c r="F247" s="6">
        <v>4</v>
      </c>
      <c r="G247" s="6">
        <v>1200</v>
      </c>
      <c r="H247" s="6">
        <v>4800</v>
      </c>
      <c r="I247" s="7" t="s">
        <v>21</v>
      </c>
    </row>
    <row r="248" spans="1:9" x14ac:dyDescent="0.25">
      <c r="A248" s="4" t="s">
        <v>274</v>
      </c>
      <c r="B248" s="5">
        <v>45744</v>
      </c>
      <c r="C248" s="6" t="s">
        <v>15</v>
      </c>
      <c r="D248" s="6" t="s">
        <v>29</v>
      </c>
      <c r="E248" s="6" t="s">
        <v>30</v>
      </c>
      <c r="F248" s="6">
        <v>3</v>
      </c>
      <c r="G248" s="6">
        <v>40</v>
      </c>
      <c r="H248" s="6">
        <v>120</v>
      </c>
      <c r="I248" s="7" t="s">
        <v>21</v>
      </c>
    </row>
    <row r="249" spans="1:9" x14ac:dyDescent="0.25">
      <c r="A249" s="4" t="s">
        <v>275</v>
      </c>
      <c r="B249" s="5">
        <v>45670</v>
      </c>
      <c r="C249" s="6" t="s">
        <v>23</v>
      </c>
      <c r="D249" s="6" t="s">
        <v>19</v>
      </c>
      <c r="E249" s="6" t="s">
        <v>20</v>
      </c>
      <c r="F249" s="6">
        <v>2</v>
      </c>
      <c r="G249" s="6">
        <v>1200</v>
      </c>
      <c r="H249" s="6">
        <v>2400</v>
      </c>
      <c r="I249" s="7" t="s">
        <v>21</v>
      </c>
    </row>
    <row r="250" spans="1:9" x14ac:dyDescent="0.25">
      <c r="A250" s="4" t="s">
        <v>276</v>
      </c>
      <c r="B250" s="5">
        <v>45746</v>
      </c>
      <c r="C250" s="6" t="s">
        <v>10</v>
      </c>
      <c r="D250" s="6" t="s">
        <v>19</v>
      </c>
      <c r="E250" s="6" t="s">
        <v>20</v>
      </c>
      <c r="F250" s="6">
        <v>2</v>
      </c>
      <c r="G250" s="6">
        <v>1200</v>
      </c>
      <c r="H250" s="6">
        <v>2400</v>
      </c>
      <c r="I250" s="7" t="s">
        <v>13</v>
      </c>
    </row>
    <row r="251" spans="1:9" x14ac:dyDescent="0.25">
      <c r="A251" s="4" t="s">
        <v>277</v>
      </c>
      <c r="B251" s="5">
        <v>45673</v>
      </c>
      <c r="C251" s="6" t="s">
        <v>15</v>
      </c>
      <c r="D251" s="6" t="s">
        <v>40</v>
      </c>
      <c r="E251" s="6" t="s">
        <v>35</v>
      </c>
      <c r="F251" s="6">
        <v>5</v>
      </c>
      <c r="G251" s="6">
        <v>180</v>
      </c>
      <c r="H251" s="6">
        <v>900</v>
      </c>
      <c r="I251" s="7" t="s">
        <v>13</v>
      </c>
    </row>
    <row r="252" spans="1:9" x14ac:dyDescent="0.25">
      <c r="A252" s="4" t="s">
        <v>278</v>
      </c>
      <c r="B252" s="5">
        <v>45717</v>
      </c>
      <c r="C252" s="6" t="s">
        <v>23</v>
      </c>
      <c r="D252" s="6" t="s">
        <v>29</v>
      </c>
      <c r="E252" s="6" t="s">
        <v>30</v>
      </c>
      <c r="F252" s="6">
        <v>5</v>
      </c>
      <c r="G252" s="6">
        <v>40</v>
      </c>
      <c r="H252" s="6">
        <v>200</v>
      </c>
      <c r="I252" s="7" t="s">
        <v>21</v>
      </c>
    </row>
    <row r="253" spans="1:9" x14ac:dyDescent="0.25">
      <c r="A253" s="4" t="s">
        <v>279</v>
      </c>
      <c r="B253" s="5">
        <v>45720</v>
      </c>
      <c r="C253" s="6" t="s">
        <v>23</v>
      </c>
      <c r="D253" s="6" t="s">
        <v>19</v>
      </c>
      <c r="E253" s="6" t="s">
        <v>20</v>
      </c>
      <c r="F253" s="6">
        <v>3</v>
      </c>
      <c r="G253" s="6">
        <v>1200</v>
      </c>
      <c r="H253" s="6">
        <v>3600</v>
      </c>
      <c r="I253" s="7" t="s">
        <v>21</v>
      </c>
    </row>
    <row r="254" spans="1:9" x14ac:dyDescent="0.25">
      <c r="A254" s="4" t="s">
        <v>280</v>
      </c>
      <c r="B254" s="5">
        <v>45707</v>
      </c>
      <c r="C254" s="6" t="s">
        <v>28</v>
      </c>
      <c r="D254" s="6" t="s">
        <v>11</v>
      </c>
      <c r="E254" s="6" t="s">
        <v>12</v>
      </c>
      <c r="F254" s="6">
        <v>4</v>
      </c>
      <c r="G254" s="6">
        <v>3500</v>
      </c>
      <c r="H254" s="6">
        <v>14000</v>
      </c>
      <c r="I254" s="7" t="s">
        <v>13</v>
      </c>
    </row>
    <row r="255" spans="1:9" x14ac:dyDescent="0.25">
      <c r="A255" s="4" t="s">
        <v>281</v>
      </c>
      <c r="B255" s="5">
        <v>45694</v>
      </c>
      <c r="C255" s="6" t="s">
        <v>28</v>
      </c>
      <c r="D255" s="6" t="s">
        <v>32</v>
      </c>
      <c r="E255" s="6" t="s">
        <v>20</v>
      </c>
      <c r="F255" s="6">
        <v>1</v>
      </c>
      <c r="G255" s="6">
        <v>2500</v>
      </c>
      <c r="H255" s="6">
        <v>2500</v>
      </c>
      <c r="I255" s="7" t="s">
        <v>21</v>
      </c>
    </row>
    <row r="256" spans="1:9" x14ac:dyDescent="0.25">
      <c r="A256" s="4" t="s">
        <v>282</v>
      </c>
      <c r="B256" s="5">
        <v>45696</v>
      </c>
      <c r="C256" s="6" t="s">
        <v>15</v>
      </c>
      <c r="D256" s="6" t="s">
        <v>40</v>
      </c>
      <c r="E256" s="6" t="s">
        <v>35</v>
      </c>
      <c r="F256" s="6">
        <v>4</v>
      </c>
      <c r="G256" s="6">
        <v>180</v>
      </c>
      <c r="H256" s="6">
        <v>720</v>
      </c>
      <c r="I256" s="7" t="s">
        <v>17</v>
      </c>
    </row>
    <row r="257" spans="1:9" x14ac:dyDescent="0.25">
      <c r="A257" s="4" t="s">
        <v>283</v>
      </c>
      <c r="B257" s="5">
        <v>45734</v>
      </c>
      <c r="C257" s="6" t="s">
        <v>10</v>
      </c>
      <c r="D257" s="6" t="s">
        <v>11</v>
      </c>
      <c r="E257" s="6" t="s">
        <v>12</v>
      </c>
      <c r="F257" s="6">
        <v>2</v>
      </c>
      <c r="G257" s="6">
        <v>3500</v>
      </c>
      <c r="H257" s="6">
        <v>7000</v>
      </c>
      <c r="I257" s="7" t="s">
        <v>17</v>
      </c>
    </row>
    <row r="258" spans="1:9" x14ac:dyDescent="0.25">
      <c r="A258" s="4" t="s">
        <v>284</v>
      </c>
      <c r="B258" s="5">
        <v>45737</v>
      </c>
      <c r="C258" s="6" t="s">
        <v>23</v>
      </c>
      <c r="D258" s="6" t="s">
        <v>34</v>
      </c>
      <c r="E258" s="6" t="s">
        <v>35</v>
      </c>
      <c r="F258" s="6">
        <v>3</v>
      </c>
      <c r="G258" s="6">
        <v>60</v>
      </c>
      <c r="H258" s="6">
        <v>180</v>
      </c>
      <c r="I258" s="7" t="s">
        <v>21</v>
      </c>
    </row>
    <row r="259" spans="1:9" x14ac:dyDescent="0.25">
      <c r="A259" s="4" t="s">
        <v>285</v>
      </c>
      <c r="B259" s="5">
        <v>45725</v>
      </c>
      <c r="C259" s="6" t="s">
        <v>10</v>
      </c>
      <c r="D259" s="6" t="s">
        <v>26</v>
      </c>
      <c r="E259" s="6" t="s">
        <v>12</v>
      </c>
      <c r="F259" s="6">
        <v>1</v>
      </c>
      <c r="G259" s="6">
        <v>1800</v>
      </c>
      <c r="H259" s="6">
        <v>1800</v>
      </c>
      <c r="I259" s="7" t="s">
        <v>13</v>
      </c>
    </row>
    <row r="260" spans="1:9" x14ac:dyDescent="0.25">
      <c r="A260" s="4" t="s">
        <v>286</v>
      </c>
      <c r="B260" s="5">
        <v>45675</v>
      </c>
      <c r="C260" s="6" t="s">
        <v>28</v>
      </c>
      <c r="D260" s="6" t="s">
        <v>26</v>
      </c>
      <c r="E260" s="6" t="s">
        <v>12</v>
      </c>
      <c r="F260" s="6">
        <v>4</v>
      </c>
      <c r="G260" s="6">
        <v>1800</v>
      </c>
      <c r="H260" s="6">
        <v>7200</v>
      </c>
      <c r="I260" s="7" t="s">
        <v>13</v>
      </c>
    </row>
    <row r="261" spans="1:9" x14ac:dyDescent="0.25">
      <c r="A261" s="4" t="s">
        <v>287</v>
      </c>
      <c r="B261" s="5">
        <v>45727</v>
      </c>
      <c r="C261" s="6" t="s">
        <v>15</v>
      </c>
      <c r="D261" s="6" t="s">
        <v>34</v>
      </c>
      <c r="E261" s="6" t="s">
        <v>35</v>
      </c>
      <c r="F261" s="6">
        <v>3</v>
      </c>
      <c r="G261" s="6">
        <v>60</v>
      </c>
      <c r="H261" s="6">
        <v>180</v>
      </c>
      <c r="I261" s="7" t="s">
        <v>21</v>
      </c>
    </row>
    <row r="262" spans="1:9" x14ac:dyDescent="0.25">
      <c r="A262" s="4" t="s">
        <v>288</v>
      </c>
      <c r="B262" s="5">
        <v>45665</v>
      </c>
      <c r="C262" s="6" t="s">
        <v>15</v>
      </c>
      <c r="D262" s="6" t="s">
        <v>32</v>
      </c>
      <c r="E262" s="6" t="s">
        <v>20</v>
      </c>
      <c r="F262" s="6">
        <v>3</v>
      </c>
      <c r="G262" s="6">
        <v>2500</v>
      </c>
      <c r="H262" s="6">
        <v>7500</v>
      </c>
      <c r="I262" s="7" t="s">
        <v>21</v>
      </c>
    </row>
    <row r="263" spans="1:9" x14ac:dyDescent="0.25">
      <c r="A263" s="4" t="s">
        <v>289</v>
      </c>
      <c r="B263" s="5">
        <v>45690</v>
      </c>
      <c r="C263" s="6" t="s">
        <v>23</v>
      </c>
      <c r="D263" s="6" t="s">
        <v>29</v>
      </c>
      <c r="E263" s="6" t="s">
        <v>30</v>
      </c>
      <c r="F263" s="6">
        <v>3</v>
      </c>
      <c r="G263" s="6">
        <v>40</v>
      </c>
      <c r="H263" s="6">
        <v>120</v>
      </c>
      <c r="I263" s="7" t="s">
        <v>17</v>
      </c>
    </row>
    <row r="264" spans="1:9" x14ac:dyDescent="0.25">
      <c r="A264" s="4" t="s">
        <v>290</v>
      </c>
      <c r="B264" s="5">
        <v>45664</v>
      </c>
      <c r="C264" s="6" t="s">
        <v>10</v>
      </c>
      <c r="D264" s="6" t="s">
        <v>40</v>
      </c>
      <c r="E264" s="6" t="s">
        <v>35</v>
      </c>
      <c r="F264" s="6">
        <v>5</v>
      </c>
      <c r="G264" s="6">
        <v>180</v>
      </c>
      <c r="H264" s="6">
        <v>900</v>
      </c>
      <c r="I264" s="7" t="s">
        <v>21</v>
      </c>
    </row>
    <row r="265" spans="1:9" x14ac:dyDescent="0.25">
      <c r="A265" s="4" t="s">
        <v>291</v>
      </c>
      <c r="B265" s="5">
        <v>45722</v>
      </c>
      <c r="C265" s="6" t="s">
        <v>15</v>
      </c>
      <c r="D265" s="6" t="s">
        <v>32</v>
      </c>
      <c r="E265" s="6" t="s">
        <v>20</v>
      </c>
      <c r="F265" s="6">
        <v>4</v>
      </c>
      <c r="G265" s="6">
        <v>2500</v>
      </c>
      <c r="H265" s="6">
        <v>10000</v>
      </c>
      <c r="I265" s="7" t="s">
        <v>21</v>
      </c>
    </row>
    <row r="266" spans="1:9" x14ac:dyDescent="0.25">
      <c r="A266" s="4" t="s">
        <v>292</v>
      </c>
      <c r="B266" s="5">
        <v>45689</v>
      </c>
      <c r="C266" s="6" t="s">
        <v>15</v>
      </c>
      <c r="D266" s="6" t="s">
        <v>34</v>
      </c>
      <c r="E266" s="6" t="s">
        <v>35</v>
      </c>
      <c r="F266" s="6">
        <v>5</v>
      </c>
      <c r="G266" s="6">
        <v>60</v>
      </c>
      <c r="H266" s="6">
        <v>300</v>
      </c>
      <c r="I266" s="7" t="s">
        <v>21</v>
      </c>
    </row>
    <row r="267" spans="1:9" x14ac:dyDescent="0.25">
      <c r="A267" s="4" t="s">
        <v>293</v>
      </c>
      <c r="B267" s="5">
        <v>45747</v>
      </c>
      <c r="C267" s="6" t="s">
        <v>23</v>
      </c>
      <c r="D267" s="6" t="s">
        <v>19</v>
      </c>
      <c r="E267" s="6" t="s">
        <v>20</v>
      </c>
      <c r="F267" s="6">
        <v>2</v>
      </c>
      <c r="G267" s="6">
        <v>1200</v>
      </c>
      <c r="H267" s="6">
        <v>2400</v>
      </c>
      <c r="I267" s="7" t="s">
        <v>21</v>
      </c>
    </row>
    <row r="268" spans="1:9" x14ac:dyDescent="0.25">
      <c r="A268" s="4" t="s">
        <v>294</v>
      </c>
      <c r="B268" s="5">
        <v>45678</v>
      </c>
      <c r="C268" s="6" t="s">
        <v>23</v>
      </c>
      <c r="D268" s="6" t="s">
        <v>19</v>
      </c>
      <c r="E268" s="6" t="s">
        <v>20</v>
      </c>
      <c r="F268" s="6">
        <v>5</v>
      </c>
      <c r="G268" s="6">
        <v>1200</v>
      </c>
      <c r="H268" s="6">
        <v>6000</v>
      </c>
      <c r="I268" s="7" t="s">
        <v>13</v>
      </c>
    </row>
    <row r="269" spans="1:9" x14ac:dyDescent="0.25">
      <c r="A269" s="4" t="s">
        <v>295</v>
      </c>
      <c r="B269" s="5">
        <v>45702</v>
      </c>
      <c r="C269" s="6" t="s">
        <v>28</v>
      </c>
      <c r="D269" s="6" t="s">
        <v>34</v>
      </c>
      <c r="E269" s="6" t="s">
        <v>35</v>
      </c>
      <c r="F269" s="6">
        <v>3</v>
      </c>
      <c r="G269" s="6">
        <v>60</v>
      </c>
      <c r="H269" s="6">
        <v>180</v>
      </c>
      <c r="I269" s="7" t="s">
        <v>21</v>
      </c>
    </row>
    <row r="270" spans="1:9" x14ac:dyDescent="0.25">
      <c r="A270" s="4" t="s">
        <v>296</v>
      </c>
      <c r="B270" s="5">
        <v>45734</v>
      </c>
      <c r="C270" s="6" t="s">
        <v>15</v>
      </c>
      <c r="D270" s="6" t="s">
        <v>11</v>
      </c>
      <c r="E270" s="6" t="s">
        <v>12</v>
      </c>
      <c r="F270" s="6">
        <v>5</v>
      </c>
      <c r="G270" s="6">
        <v>3500</v>
      </c>
      <c r="H270" s="6">
        <v>17500</v>
      </c>
      <c r="I270" s="7" t="s">
        <v>21</v>
      </c>
    </row>
    <row r="271" spans="1:9" x14ac:dyDescent="0.25">
      <c r="A271" s="4" t="s">
        <v>297</v>
      </c>
      <c r="B271" s="5">
        <v>45738</v>
      </c>
      <c r="C271" s="6" t="s">
        <v>23</v>
      </c>
      <c r="D271" s="6" t="s">
        <v>11</v>
      </c>
      <c r="E271" s="6" t="s">
        <v>12</v>
      </c>
      <c r="F271" s="6">
        <v>1</v>
      </c>
      <c r="G271" s="6">
        <v>3500</v>
      </c>
      <c r="H271" s="6">
        <v>3500</v>
      </c>
      <c r="I271" s="7" t="s">
        <v>17</v>
      </c>
    </row>
    <row r="272" spans="1:9" x14ac:dyDescent="0.25">
      <c r="A272" s="4" t="s">
        <v>298</v>
      </c>
      <c r="B272" s="5">
        <v>45700</v>
      </c>
      <c r="C272" s="6" t="s">
        <v>23</v>
      </c>
      <c r="D272" s="6" t="s">
        <v>26</v>
      </c>
      <c r="E272" s="6" t="s">
        <v>12</v>
      </c>
      <c r="F272" s="6">
        <v>2</v>
      </c>
      <c r="G272" s="6">
        <v>1800</v>
      </c>
      <c r="H272" s="6">
        <v>3600</v>
      </c>
      <c r="I272" s="7" t="s">
        <v>21</v>
      </c>
    </row>
    <row r="273" spans="1:9" x14ac:dyDescent="0.25">
      <c r="A273" s="4" t="s">
        <v>299</v>
      </c>
      <c r="B273" s="5">
        <v>45721</v>
      </c>
      <c r="C273" s="6" t="s">
        <v>23</v>
      </c>
      <c r="D273" s="6" t="s">
        <v>40</v>
      </c>
      <c r="E273" s="6" t="s">
        <v>35</v>
      </c>
      <c r="F273" s="6">
        <v>1</v>
      </c>
      <c r="G273" s="6">
        <v>180</v>
      </c>
      <c r="H273" s="6">
        <v>180</v>
      </c>
      <c r="I273" s="7" t="s">
        <v>17</v>
      </c>
    </row>
    <row r="274" spans="1:9" x14ac:dyDescent="0.25">
      <c r="A274" s="4" t="s">
        <v>300</v>
      </c>
      <c r="B274" s="5">
        <v>45731</v>
      </c>
      <c r="C274" s="6" t="s">
        <v>10</v>
      </c>
      <c r="D274" s="6" t="s">
        <v>32</v>
      </c>
      <c r="E274" s="6" t="s">
        <v>20</v>
      </c>
      <c r="F274" s="6">
        <v>2</v>
      </c>
      <c r="G274" s="6">
        <v>2500</v>
      </c>
      <c r="H274" s="6">
        <v>5000</v>
      </c>
      <c r="I274" s="7" t="s">
        <v>21</v>
      </c>
    </row>
    <row r="275" spans="1:9" x14ac:dyDescent="0.25">
      <c r="A275" s="4" t="s">
        <v>301</v>
      </c>
      <c r="B275" s="5">
        <v>45704</v>
      </c>
      <c r="C275" s="6" t="s">
        <v>28</v>
      </c>
      <c r="D275" s="6" t="s">
        <v>32</v>
      </c>
      <c r="E275" s="6" t="s">
        <v>20</v>
      </c>
      <c r="F275" s="6">
        <v>3</v>
      </c>
      <c r="G275" s="6">
        <v>2500</v>
      </c>
      <c r="H275" s="6">
        <v>7500</v>
      </c>
      <c r="I275" s="7" t="s">
        <v>21</v>
      </c>
    </row>
    <row r="276" spans="1:9" x14ac:dyDescent="0.25">
      <c r="A276" s="4" t="s">
        <v>302</v>
      </c>
      <c r="B276" s="5">
        <v>45746</v>
      </c>
      <c r="C276" s="6" t="s">
        <v>28</v>
      </c>
      <c r="D276" s="6" t="s">
        <v>26</v>
      </c>
      <c r="E276" s="6" t="s">
        <v>12</v>
      </c>
      <c r="F276" s="6">
        <v>3</v>
      </c>
      <c r="G276" s="6">
        <v>1800</v>
      </c>
      <c r="H276" s="6">
        <v>5400</v>
      </c>
      <c r="I276" s="7" t="s">
        <v>21</v>
      </c>
    </row>
    <row r="277" spans="1:9" x14ac:dyDescent="0.25">
      <c r="A277" s="4" t="s">
        <v>303</v>
      </c>
      <c r="B277" s="5">
        <v>45727</v>
      </c>
      <c r="C277" s="6" t="s">
        <v>15</v>
      </c>
      <c r="D277" s="6" t="s">
        <v>16</v>
      </c>
      <c r="E277" s="6" t="s">
        <v>12</v>
      </c>
      <c r="F277" s="6">
        <v>5</v>
      </c>
      <c r="G277" s="6">
        <v>1200</v>
      </c>
      <c r="H277" s="6">
        <v>6000</v>
      </c>
      <c r="I277" s="7" t="s">
        <v>17</v>
      </c>
    </row>
    <row r="278" spans="1:9" x14ac:dyDescent="0.25">
      <c r="A278" s="4" t="s">
        <v>304</v>
      </c>
      <c r="B278" s="5">
        <v>45701</v>
      </c>
      <c r="C278" s="6" t="s">
        <v>28</v>
      </c>
      <c r="D278" s="6" t="s">
        <v>40</v>
      </c>
      <c r="E278" s="6" t="s">
        <v>35</v>
      </c>
      <c r="F278" s="6">
        <v>3</v>
      </c>
      <c r="G278" s="6">
        <v>180</v>
      </c>
      <c r="H278" s="6">
        <v>540</v>
      </c>
      <c r="I278" s="7" t="s">
        <v>21</v>
      </c>
    </row>
    <row r="279" spans="1:9" x14ac:dyDescent="0.25">
      <c r="A279" s="4" t="s">
        <v>305</v>
      </c>
      <c r="B279" s="5">
        <v>45672</v>
      </c>
      <c r="C279" s="6" t="s">
        <v>10</v>
      </c>
      <c r="D279" s="6" t="s">
        <v>11</v>
      </c>
      <c r="E279" s="6" t="s">
        <v>12</v>
      </c>
      <c r="F279" s="6">
        <v>4</v>
      </c>
      <c r="G279" s="6">
        <v>3500</v>
      </c>
      <c r="H279" s="6">
        <v>14000</v>
      </c>
      <c r="I279" s="7" t="s">
        <v>17</v>
      </c>
    </row>
    <row r="280" spans="1:9" x14ac:dyDescent="0.25">
      <c r="A280" s="4" t="s">
        <v>306</v>
      </c>
      <c r="B280" s="5">
        <v>45658</v>
      </c>
      <c r="C280" s="6" t="s">
        <v>28</v>
      </c>
      <c r="D280" s="6" t="s">
        <v>26</v>
      </c>
      <c r="E280" s="6" t="s">
        <v>12</v>
      </c>
      <c r="F280" s="6">
        <v>5</v>
      </c>
      <c r="G280" s="6">
        <v>1800</v>
      </c>
      <c r="H280" s="6">
        <v>9000</v>
      </c>
      <c r="I280" s="7" t="s">
        <v>17</v>
      </c>
    </row>
    <row r="281" spans="1:9" x14ac:dyDescent="0.25">
      <c r="A281" s="4" t="s">
        <v>307</v>
      </c>
      <c r="B281" s="5">
        <v>45699</v>
      </c>
      <c r="C281" s="6" t="s">
        <v>15</v>
      </c>
      <c r="D281" s="6" t="s">
        <v>29</v>
      </c>
      <c r="E281" s="6" t="s">
        <v>30</v>
      </c>
      <c r="F281" s="6">
        <v>1</v>
      </c>
      <c r="G281" s="6">
        <v>40</v>
      </c>
      <c r="H281" s="6">
        <v>40</v>
      </c>
      <c r="I281" s="7" t="s">
        <v>13</v>
      </c>
    </row>
    <row r="282" spans="1:9" x14ac:dyDescent="0.25">
      <c r="A282" s="4" t="s">
        <v>308</v>
      </c>
      <c r="B282" s="5">
        <v>45714</v>
      </c>
      <c r="C282" s="6" t="s">
        <v>10</v>
      </c>
      <c r="D282" s="6" t="s">
        <v>34</v>
      </c>
      <c r="E282" s="6" t="s">
        <v>35</v>
      </c>
      <c r="F282" s="6">
        <v>3</v>
      </c>
      <c r="G282" s="6">
        <v>60</v>
      </c>
      <c r="H282" s="6">
        <v>180</v>
      </c>
      <c r="I282" s="7" t="s">
        <v>13</v>
      </c>
    </row>
    <row r="283" spans="1:9" x14ac:dyDescent="0.25">
      <c r="A283" s="4" t="s">
        <v>309</v>
      </c>
      <c r="B283" s="5">
        <v>45719</v>
      </c>
      <c r="C283" s="6" t="s">
        <v>10</v>
      </c>
      <c r="D283" s="6" t="s">
        <v>32</v>
      </c>
      <c r="E283" s="6" t="s">
        <v>20</v>
      </c>
      <c r="F283" s="6">
        <v>2</v>
      </c>
      <c r="G283" s="6">
        <v>2500</v>
      </c>
      <c r="H283" s="6">
        <v>5000</v>
      </c>
      <c r="I283" s="7" t="s">
        <v>13</v>
      </c>
    </row>
    <row r="284" spans="1:9" x14ac:dyDescent="0.25">
      <c r="A284" s="4" t="s">
        <v>310</v>
      </c>
      <c r="B284" s="5">
        <v>45711</v>
      </c>
      <c r="C284" s="6" t="s">
        <v>23</v>
      </c>
      <c r="D284" s="6" t="s">
        <v>11</v>
      </c>
      <c r="E284" s="6" t="s">
        <v>12</v>
      </c>
      <c r="F284" s="6">
        <v>5</v>
      </c>
      <c r="G284" s="6">
        <v>3500</v>
      </c>
      <c r="H284" s="6">
        <v>17500</v>
      </c>
      <c r="I284" s="7" t="s">
        <v>17</v>
      </c>
    </row>
    <row r="285" spans="1:9" x14ac:dyDescent="0.25">
      <c r="A285" s="4" t="s">
        <v>311</v>
      </c>
      <c r="B285" s="5">
        <v>45709</v>
      </c>
      <c r="C285" s="6" t="s">
        <v>15</v>
      </c>
      <c r="D285" s="6" t="s">
        <v>26</v>
      </c>
      <c r="E285" s="6" t="s">
        <v>12</v>
      </c>
      <c r="F285" s="6">
        <v>2</v>
      </c>
      <c r="G285" s="6">
        <v>1800</v>
      </c>
      <c r="H285" s="6">
        <v>3600</v>
      </c>
      <c r="I285" s="7" t="s">
        <v>13</v>
      </c>
    </row>
    <row r="286" spans="1:9" x14ac:dyDescent="0.25">
      <c r="A286" s="4" t="s">
        <v>312</v>
      </c>
      <c r="B286" s="5">
        <v>45726</v>
      </c>
      <c r="C286" s="6" t="s">
        <v>15</v>
      </c>
      <c r="D286" s="6" t="s">
        <v>19</v>
      </c>
      <c r="E286" s="6" t="s">
        <v>20</v>
      </c>
      <c r="F286" s="6">
        <v>2</v>
      </c>
      <c r="G286" s="6">
        <v>1200</v>
      </c>
      <c r="H286" s="6">
        <v>2400</v>
      </c>
      <c r="I286" s="7" t="s">
        <v>13</v>
      </c>
    </row>
    <row r="287" spans="1:9" x14ac:dyDescent="0.25">
      <c r="A287" s="4" t="s">
        <v>313</v>
      </c>
      <c r="B287" s="5">
        <v>45687</v>
      </c>
      <c r="C287" s="6" t="s">
        <v>28</v>
      </c>
      <c r="D287" s="6" t="s">
        <v>26</v>
      </c>
      <c r="E287" s="6" t="s">
        <v>12</v>
      </c>
      <c r="F287" s="6">
        <v>1</v>
      </c>
      <c r="G287" s="6">
        <v>1800</v>
      </c>
      <c r="H287" s="6">
        <v>1800</v>
      </c>
      <c r="I287" s="7" t="s">
        <v>21</v>
      </c>
    </row>
    <row r="288" spans="1:9" x14ac:dyDescent="0.25">
      <c r="A288" s="4" t="s">
        <v>314</v>
      </c>
      <c r="B288" s="5">
        <v>45701</v>
      </c>
      <c r="C288" s="6" t="s">
        <v>28</v>
      </c>
      <c r="D288" s="6" t="s">
        <v>32</v>
      </c>
      <c r="E288" s="6" t="s">
        <v>20</v>
      </c>
      <c r="F288" s="6">
        <v>1</v>
      </c>
      <c r="G288" s="6">
        <v>2500</v>
      </c>
      <c r="H288" s="6">
        <v>2500</v>
      </c>
      <c r="I288" s="7" t="s">
        <v>13</v>
      </c>
    </row>
    <row r="289" spans="1:9" x14ac:dyDescent="0.25">
      <c r="A289" s="4" t="s">
        <v>315</v>
      </c>
      <c r="B289" s="5">
        <v>45700</v>
      </c>
      <c r="C289" s="6" t="s">
        <v>15</v>
      </c>
      <c r="D289" s="6" t="s">
        <v>16</v>
      </c>
      <c r="E289" s="6" t="s">
        <v>12</v>
      </c>
      <c r="F289" s="6">
        <v>5</v>
      </c>
      <c r="G289" s="6">
        <v>1200</v>
      </c>
      <c r="H289" s="6">
        <v>6000</v>
      </c>
      <c r="I289" s="7" t="s">
        <v>21</v>
      </c>
    </row>
    <row r="290" spans="1:9" x14ac:dyDescent="0.25">
      <c r="A290" s="4" t="s">
        <v>316</v>
      </c>
      <c r="B290" s="5">
        <v>45667</v>
      </c>
      <c r="C290" s="6" t="s">
        <v>10</v>
      </c>
      <c r="D290" s="6" t="s">
        <v>34</v>
      </c>
      <c r="E290" s="6" t="s">
        <v>35</v>
      </c>
      <c r="F290" s="6">
        <v>2</v>
      </c>
      <c r="G290" s="6">
        <v>60</v>
      </c>
      <c r="H290" s="6">
        <v>120</v>
      </c>
      <c r="I290" s="7" t="s">
        <v>13</v>
      </c>
    </row>
    <row r="291" spans="1:9" x14ac:dyDescent="0.25">
      <c r="A291" s="4" t="s">
        <v>317</v>
      </c>
      <c r="B291" s="5">
        <v>45689</v>
      </c>
      <c r="C291" s="6" t="s">
        <v>10</v>
      </c>
      <c r="D291" s="6" t="s">
        <v>29</v>
      </c>
      <c r="E291" s="6" t="s">
        <v>30</v>
      </c>
      <c r="F291" s="6">
        <v>5</v>
      </c>
      <c r="G291" s="6">
        <v>40</v>
      </c>
      <c r="H291" s="6">
        <v>200</v>
      </c>
      <c r="I291" s="7" t="s">
        <v>21</v>
      </c>
    </row>
    <row r="292" spans="1:9" x14ac:dyDescent="0.25">
      <c r="A292" s="4" t="s">
        <v>318</v>
      </c>
      <c r="B292" s="5">
        <v>45715</v>
      </c>
      <c r="C292" s="6" t="s">
        <v>28</v>
      </c>
      <c r="D292" s="6" t="s">
        <v>26</v>
      </c>
      <c r="E292" s="6" t="s">
        <v>12</v>
      </c>
      <c r="F292" s="6">
        <v>2</v>
      </c>
      <c r="G292" s="6">
        <v>1800</v>
      </c>
      <c r="H292" s="6">
        <v>3600</v>
      </c>
      <c r="I292" s="7" t="s">
        <v>21</v>
      </c>
    </row>
    <row r="293" spans="1:9" x14ac:dyDescent="0.25">
      <c r="A293" s="4" t="s">
        <v>319</v>
      </c>
      <c r="B293" s="5">
        <v>45681</v>
      </c>
      <c r="C293" s="6" t="s">
        <v>15</v>
      </c>
      <c r="D293" s="6" t="s">
        <v>26</v>
      </c>
      <c r="E293" s="6" t="s">
        <v>12</v>
      </c>
      <c r="F293" s="6">
        <v>5</v>
      </c>
      <c r="G293" s="6">
        <v>1800</v>
      </c>
      <c r="H293" s="6">
        <v>9000</v>
      </c>
      <c r="I293" s="7" t="s">
        <v>13</v>
      </c>
    </row>
    <row r="294" spans="1:9" x14ac:dyDescent="0.25">
      <c r="A294" s="4" t="s">
        <v>320</v>
      </c>
      <c r="B294" s="5">
        <v>45696</v>
      </c>
      <c r="C294" s="6" t="s">
        <v>15</v>
      </c>
      <c r="D294" s="6" t="s">
        <v>11</v>
      </c>
      <c r="E294" s="6" t="s">
        <v>12</v>
      </c>
      <c r="F294" s="6">
        <v>3</v>
      </c>
      <c r="G294" s="6">
        <v>3500</v>
      </c>
      <c r="H294" s="6">
        <v>10500</v>
      </c>
      <c r="I294" s="7" t="s">
        <v>21</v>
      </c>
    </row>
    <row r="295" spans="1:9" x14ac:dyDescent="0.25">
      <c r="A295" s="4" t="s">
        <v>321</v>
      </c>
      <c r="B295" s="5">
        <v>45662</v>
      </c>
      <c r="C295" s="6" t="s">
        <v>28</v>
      </c>
      <c r="D295" s="6" t="s">
        <v>40</v>
      </c>
      <c r="E295" s="6" t="s">
        <v>35</v>
      </c>
      <c r="F295" s="6">
        <v>2</v>
      </c>
      <c r="G295" s="6">
        <v>180</v>
      </c>
      <c r="H295" s="6">
        <v>360</v>
      </c>
      <c r="I295" s="7" t="s">
        <v>21</v>
      </c>
    </row>
    <row r="296" spans="1:9" x14ac:dyDescent="0.25">
      <c r="A296" s="4" t="s">
        <v>322</v>
      </c>
      <c r="B296" s="5">
        <v>45666</v>
      </c>
      <c r="C296" s="6" t="s">
        <v>10</v>
      </c>
      <c r="D296" s="6" t="s">
        <v>40</v>
      </c>
      <c r="E296" s="6" t="s">
        <v>35</v>
      </c>
      <c r="F296" s="6">
        <v>3</v>
      </c>
      <c r="G296" s="6">
        <v>180</v>
      </c>
      <c r="H296" s="6">
        <v>540</v>
      </c>
      <c r="I296" s="7" t="s">
        <v>13</v>
      </c>
    </row>
    <row r="297" spans="1:9" x14ac:dyDescent="0.25">
      <c r="A297" s="4" t="s">
        <v>323</v>
      </c>
      <c r="B297" s="5">
        <v>45683</v>
      </c>
      <c r="C297" s="6" t="s">
        <v>23</v>
      </c>
      <c r="D297" s="6" t="s">
        <v>32</v>
      </c>
      <c r="E297" s="6" t="s">
        <v>20</v>
      </c>
      <c r="F297" s="6">
        <v>2</v>
      </c>
      <c r="G297" s="6">
        <v>2500</v>
      </c>
      <c r="H297" s="6">
        <v>5000</v>
      </c>
      <c r="I297" s="7" t="s">
        <v>17</v>
      </c>
    </row>
    <row r="298" spans="1:9" x14ac:dyDescent="0.25">
      <c r="A298" s="4" t="s">
        <v>324</v>
      </c>
      <c r="B298" s="5">
        <v>45727</v>
      </c>
      <c r="C298" s="6" t="s">
        <v>15</v>
      </c>
      <c r="D298" s="6" t="s">
        <v>29</v>
      </c>
      <c r="E298" s="6" t="s">
        <v>30</v>
      </c>
      <c r="F298" s="6">
        <v>1</v>
      </c>
      <c r="G298" s="6">
        <v>40</v>
      </c>
      <c r="H298" s="6">
        <v>40</v>
      </c>
      <c r="I298" s="7" t="s">
        <v>21</v>
      </c>
    </row>
    <row r="299" spans="1:9" x14ac:dyDescent="0.25">
      <c r="A299" s="4" t="s">
        <v>325</v>
      </c>
      <c r="B299" s="5">
        <v>45693</v>
      </c>
      <c r="C299" s="6" t="s">
        <v>28</v>
      </c>
      <c r="D299" s="6" t="s">
        <v>32</v>
      </c>
      <c r="E299" s="6" t="s">
        <v>20</v>
      </c>
      <c r="F299" s="6">
        <v>5</v>
      </c>
      <c r="G299" s="6">
        <v>2500</v>
      </c>
      <c r="H299" s="6">
        <v>12500</v>
      </c>
      <c r="I299" s="7" t="s">
        <v>17</v>
      </c>
    </row>
    <row r="300" spans="1:9" x14ac:dyDescent="0.25">
      <c r="A300" s="4" t="s">
        <v>326</v>
      </c>
      <c r="B300" s="5">
        <v>45695</v>
      </c>
      <c r="C300" s="6" t="s">
        <v>10</v>
      </c>
      <c r="D300" s="6" t="s">
        <v>32</v>
      </c>
      <c r="E300" s="6" t="s">
        <v>20</v>
      </c>
      <c r="F300" s="6">
        <v>1</v>
      </c>
      <c r="G300" s="6">
        <v>2500</v>
      </c>
      <c r="H300" s="6">
        <v>2500</v>
      </c>
      <c r="I300" s="7" t="s">
        <v>17</v>
      </c>
    </row>
    <row r="301" spans="1:9" x14ac:dyDescent="0.25">
      <c r="A301" s="8" t="s">
        <v>327</v>
      </c>
      <c r="B301" s="9">
        <v>45688</v>
      </c>
      <c r="C301" s="10" t="s">
        <v>23</v>
      </c>
      <c r="D301" s="10" t="s">
        <v>40</v>
      </c>
      <c r="E301" s="10" t="s">
        <v>35</v>
      </c>
      <c r="F301" s="10">
        <v>4</v>
      </c>
      <c r="G301" s="10">
        <v>180</v>
      </c>
      <c r="H301" s="10">
        <v>720</v>
      </c>
      <c r="I301" s="11" t="s">
        <v>17</v>
      </c>
    </row>
    <row r="302" spans="1:9" x14ac:dyDescent="0.25">
      <c r="A302" s="18">
        <f>COUNTA(A2:A301)</f>
        <v>300</v>
      </c>
      <c r="F302" s="18">
        <f>SUM(F2:F301)</f>
        <v>905</v>
      </c>
      <c r="H302" s="20">
        <f>SUM(H2:H301)</f>
        <v>1149700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H17" sqref="H17"/>
    </sheetView>
  </sheetViews>
  <sheetFormatPr defaultRowHeight="15" x14ac:dyDescent="0.25"/>
  <cols>
    <col min="1" max="1" width="13.140625" bestFit="1" customWidth="1"/>
    <col min="2" max="2" width="17.28515625" bestFit="1" customWidth="1"/>
  </cols>
  <sheetData>
    <row r="3" spans="1:2" x14ac:dyDescent="0.25">
      <c r="A3" s="1" t="s">
        <v>328</v>
      </c>
      <c r="B3" t="s">
        <v>329</v>
      </c>
    </row>
    <row r="4" spans="1:2" x14ac:dyDescent="0.25">
      <c r="A4" s="2" t="s">
        <v>12</v>
      </c>
      <c r="B4" s="3">
        <v>712500</v>
      </c>
    </row>
    <row r="5" spans="1:2" x14ac:dyDescent="0.25">
      <c r="A5" s="2" t="s">
        <v>30</v>
      </c>
      <c r="B5" s="3">
        <v>3480</v>
      </c>
    </row>
    <row r="6" spans="1:2" x14ac:dyDescent="0.25">
      <c r="A6" s="2" t="s">
        <v>20</v>
      </c>
      <c r="B6" s="3">
        <v>394000</v>
      </c>
    </row>
    <row r="7" spans="1:2" x14ac:dyDescent="0.25">
      <c r="A7" s="2" t="s">
        <v>35</v>
      </c>
      <c r="B7" s="3">
        <v>39720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B11" sqref="B11"/>
    </sheetView>
  </sheetViews>
  <sheetFormatPr defaultRowHeight="15" x14ac:dyDescent="0.25"/>
  <cols>
    <col min="1" max="1" width="13.140625" bestFit="1" customWidth="1"/>
    <col min="2" max="2" width="17.28515625" bestFit="1" customWidth="1"/>
  </cols>
  <sheetData>
    <row r="3" spans="1:2" x14ac:dyDescent="0.25">
      <c r="A3" s="1" t="s">
        <v>328</v>
      </c>
      <c r="B3" t="s">
        <v>329</v>
      </c>
    </row>
    <row r="4" spans="1:2" x14ac:dyDescent="0.25">
      <c r="A4" s="2" t="s">
        <v>10</v>
      </c>
      <c r="B4" s="3">
        <v>271500</v>
      </c>
    </row>
    <row r="5" spans="1:2" x14ac:dyDescent="0.25">
      <c r="A5" s="2" t="s">
        <v>28</v>
      </c>
      <c r="B5" s="3">
        <v>269740</v>
      </c>
    </row>
    <row r="6" spans="1:2" x14ac:dyDescent="0.25">
      <c r="A6" s="2" t="s">
        <v>23</v>
      </c>
      <c r="B6" s="3">
        <v>312780</v>
      </c>
    </row>
    <row r="7" spans="1:2" x14ac:dyDescent="0.25">
      <c r="A7" s="2" t="s">
        <v>15</v>
      </c>
      <c r="B7" s="3">
        <v>295680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B15" sqref="B15"/>
    </sheetView>
  </sheetViews>
  <sheetFormatPr defaultRowHeight="15" x14ac:dyDescent="0.25"/>
  <cols>
    <col min="1" max="1" width="13.140625" bestFit="1" customWidth="1"/>
    <col min="2" max="2" width="17.28515625" bestFit="1" customWidth="1"/>
  </cols>
  <sheetData>
    <row r="3" spans="1:2" x14ac:dyDescent="0.25">
      <c r="A3" s="1" t="s">
        <v>328</v>
      </c>
      <c r="B3" t="s">
        <v>329</v>
      </c>
    </row>
    <row r="4" spans="1:2" x14ac:dyDescent="0.25">
      <c r="A4" s="2" t="s">
        <v>17</v>
      </c>
      <c r="B4" s="3">
        <v>374520</v>
      </c>
    </row>
    <row r="5" spans="1:2" x14ac:dyDescent="0.25">
      <c r="A5" s="2" t="s">
        <v>21</v>
      </c>
      <c r="B5" s="3">
        <v>394720</v>
      </c>
    </row>
    <row r="6" spans="1:2" x14ac:dyDescent="0.25">
      <c r="A6" s="2" t="s">
        <v>13</v>
      </c>
      <c r="B6" s="3">
        <v>380460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M13" sqref="M13"/>
    </sheetView>
  </sheetViews>
  <sheetFormatPr defaultRowHeight="15" x14ac:dyDescent="0.25"/>
  <cols>
    <col min="1" max="1" width="13.140625" bestFit="1" customWidth="1"/>
    <col min="2" max="2" width="17.28515625" bestFit="1" customWidth="1"/>
  </cols>
  <sheetData>
    <row r="3" spans="1:2" x14ac:dyDescent="0.25">
      <c r="A3" s="1" t="s">
        <v>328</v>
      </c>
      <c r="B3" t="s">
        <v>329</v>
      </c>
    </row>
    <row r="4" spans="1:2" x14ac:dyDescent="0.25">
      <c r="A4" s="2" t="s">
        <v>330</v>
      </c>
      <c r="B4" s="3">
        <v>388560</v>
      </c>
    </row>
    <row r="5" spans="1:2" x14ac:dyDescent="0.25">
      <c r="A5" s="2" t="s">
        <v>331</v>
      </c>
      <c r="B5" s="3">
        <v>414560</v>
      </c>
    </row>
    <row r="6" spans="1:2" x14ac:dyDescent="0.25">
      <c r="A6" s="2" t="s">
        <v>332</v>
      </c>
      <c r="B6" s="3">
        <v>328240</v>
      </c>
    </row>
    <row r="7" spans="1:2" x14ac:dyDescent="0.25">
      <c r="A7" s="2" t="s">
        <v>333</v>
      </c>
      <c r="B7" s="3">
        <v>18340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D10" sqref="D10"/>
    </sheetView>
  </sheetViews>
  <sheetFormatPr defaultRowHeight="15" x14ac:dyDescent="0.25"/>
  <cols>
    <col min="1" max="1" width="13.140625" bestFit="1" customWidth="1"/>
    <col min="2" max="2" width="17.28515625" bestFit="1" customWidth="1"/>
  </cols>
  <sheetData>
    <row r="3" spans="1:2" x14ac:dyDescent="0.25">
      <c r="A3" s="1" t="s">
        <v>328</v>
      </c>
      <c r="B3" t="s">
        <v>329</v>
      </c>
    </row>
    <row r="4" spans="1:2" x14ac:dyDescent="0.25">
      <c r="A4" s="2" t="s">
        <v>32</v>
      </c>
      <c r="B4" s="3">
        <v>280000</v>
      </c>
    </row>
    <row r="5" spans="1:2" x14ac:dyDescent="0.25">
      <c r="A5" s="2" t="s">
        <v>26</v>
      </c>
      <c r="B5" s="3">
        <v>196200</v>
      </c>
    </row>
    <row r="6" spans="1:2" x14ac:dyDescent="0.25">
      <c r="A6" s="2" t="s">
        <v>16</v>
      </c>
      <c r="B6" s="3">
        <v>106800</v>
      </c>
    </row>
    <row r="7" spans="1:2" x14ac:dyDescent="0.25">
      <c r="A7" s="2" t="s">
        <v>40</v>
      </c>
      <c r="B7" s="3">
        <v>32940</v>
      </c>
    </row>
    <row r="8" spans="1:2" x14ac:dyDescent="0.25">
      <c r="A8" s="2" t="s">
        <v>34</v>
      </c>
      <c r="B8" s="3">
        <v>6780</v>
      </c>
    </row>
    <row r="9" spans="1:2" x14ac:dyDescent="0.25">
      <c r="A9" s="2" t="s">
        <v>19</v>
      </c>
      <c r="B9" s="3">
        <v>114000</v>
      </c>
    </row>
    <row r="10" spans="1:2" x14ac:dyDescent="0.25">
      <c r="A10" s="2" t="s">
        <v>11</v>
      </c>
      <c r="B10" s="3">
        <v>409500</v>
      </c>
    </row>
    <row r="11" spans="1:2" x14ac:dyDescent="0.25">
      <c r="A11" s="2" t="s">
        <v>29</v>
      </c>
      <c r="B11" s="3">
        <v>3480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W57"/>
  <sheetViews>
    <sheetView zoomScale="80" zoomScaleNormal="80" workbookViewId="0">
      <selection activeCell="Y11" sqref="Y11"/>
    </sheetView>
  </sheetViews>
  <sheetFormatPr defaultRowHeight="15" x14ac:dyDescent="0.25"/>
  <sheetData>
    <row r="3" spans="2:23" x14ac:dyDescent="0.25">
      <c r="B3" s="16"/>
      <c r="C3" s="16"/>
      <c r="D3" s="16"/>
      <c r="E3" s="16"/>
      <c r="F3" s="16"/>
      <c r="G3" s="16"/>
      <c r="H3" s="16"/>
      <c r="I3" s="16"/>
      <c r="J3" s="16"/>
      <c r="K3" s="16"/>
      <c r="L3" s="16"/>
      <c r="M3" s="16"/>
      <c r="N3" s="16"/>
      <c r="O3" s="16"/>
      <c r="P3" s="16"/>
      <c r="Q3" s="16"/>
      <c r="R3" s="15"/>
      <c r="S3" s="15"/>
      <c r="T3" s="21"/>
      <c r="U3" s="21"/>
      <c r="V3" s="21"/>
      <c r="W3" s="21"/>
    </row>
    <row r="4" spans="2:23" x14ac:dyDescent="0.25">
      <c r="B4" s="16"/>
      <c r="C4" s="16"/>
      <c r="D4" s="16"/>
      <c r="E4" s="16"/>
      <c r="F4" s="16"/>
      <c r="G4" s="16"/>
      <c r="H4" s="16"/>
      <c r="I4" s="16"/>
      <c r="J4" s="16"/>
      <c r="K4" s="16"/>
      <c r="L4" s="16"/>
      <c r="M4" s="16"/>
      <c r="N4" s="16"/>
      <c r="O4" s="16"/>
      <c r="P4" s="16"/>
      <c r="Q4" s="16"/>
      <c r="R4" s="16"/>
      <c r="S4" s="16"/>
      <c r="T4" s="21"/>
      <c r="U4" s="21"/>
      <c r="V4" s="21"/>
      <c r="W4" s="21"/>
    </row>
    <row r="5" spans="2:23" x14ac:dyDescent="0.25">
      <c r="B5" s="16"/>
      <c r="C5" s="16"/>
      <c r="D5" s="16"/>
      <c r="E5" s="16"/>
      <c r="F5" s="16"/>
      <c r="G5" s="16"/>
      <c r="H5" s="16"/>
      <c r="I5" s="16"/>
      <c r="J5" s="16"/>
      <c r="K5" s="16"/>
      <c r="L5" s="16"/>
      <c r="M5" s="16"/>
      <c r="N5" s="16"/>
      <c r="O5" s="16"/>
      <c r="P5" s="16"/>
      <c r="Q5" s="16"/>
      <c r="R5" s="16"/>
      <c r="S5" s="16"/>
      <c r="T5" s="21"/>
      <c r="U5" s="21"/>
      <c r="V5" s="21"/>
      <c r="W5" s="21"/>
    </row>
    <row r="6" spans="2:23" x14ac:dyDescent="0.25">
      <c r="B6" s="16"/>
      <c r="C6" s="16"/>
      <c r="D6" s="16"/>
      <c r="E6" s="16"/>
      <c r="F6" s="16"/>
      <c r="G6" s="16"/>
      <c r="H6" s="16"/>
      <c r="I6" s="16"/>
      <c r="J6" s="16"/>
      <c r="K6" s="16"/>
      <c r="L6" s="16"/>
      <c r="M6" s="16"/>
      <c r="N6" s="16"/>
      <c r="O6" s="16"/>
      <c r="P6" s="16"/>
      <c r="Q6" s="16"/>
      <c r="R6" s="16"/>
      <c r="S6" s="16"/>
      <c r="T6" s="21"/>
      <c r="U6" s="21"/>
      <c r="V6" s="21"/>
      <c r="W6" s="21"/>
    </row>
    <row r="7" spans="2:23" x14ac:dyDescent="0.25">
      <c r="B7" s="16"/>
      <c r="C7" s="16"/>
      <c r="D7" s="16"/>
      <c r="E7" s="16"/>
      <c r="F7" s="16"/>
      <c r="G7" s="16"/>
      <c r="H7" s="16"/>
      <c r="I7" s="16"/>
      <c r="J7" s="16"/>
      <c r="K7" s="16"/>
      <c r="L7" s="16"/>
      <c r="M7" s="16"/>
      <c r="N7" s="16"/>
      <c r="O7" s="16"/>
      <c r="P7" s="16"/>
      <c r="Q7" s="16"/>
      <c r="R7" s="16"/>
      <c r="S7" s="16"/>
      <c r="T7" s="21"/>
      <c r="U7" s="21"/>
      <c r="V7" s="21"/>
      <c r="W7" s="21"/>
    </row>
    <row r="8" spans="2:23" x14ac:dyDescent="0.25">
      <c r="B8" s="16"/>
      <c r="C8" s="16"/>
      <c r="D8" s="16"/>
      <c r="E8" s="16"/>
      <c r="F8" s="16"/>
      <c r="G8" s="16"/>
      <c r="H8" s="16"/>
      <c r="I8" s="16"/>
      <c r="J8" s="16"/>
      <c r="K8" s="16"/>
      <c r="L8" s="16"/>
      <c r="M8" s="16"/>
      <c r="N8" s="16"/>
      <c r="O8" s="16"/>
      <c r="P8" s="16"/>
      <c r="Q8" s="16"/>
      <c r="R8" s="16"/>
      <c r="S8" s="16"/>
      <c r="T8" s="21"/>
      <c r="U8" s="21"/>
      <c r="V8" s="21"/>
      <c r="W8" s="21"/>
    </row>
    <row r="9" spans="2:23" x14ac:dyDescent="0.25">
      <c r="B9" s="16"/>
      <c r="C9" s="16"/>
      <c r="D9" s="16"/>
      <c r="E9" s="16"/>
      <c r="F9" s="16"/>
      <c r="G9" s="16"/>
      <c r="H9" s="16"/>
      <c r="I9" s="16"/>
      <c r="J9" s="16"/>
      <c r="K9" s="16"/>
      <c r="L9" s="16"/>
      <c r="M9" s="16"/>
      <c r="N9" s="16"/>
      <c r="O9" s="16"/>
      <c r="P9" s="16"/>
      <c r="Q9" s="16"/>
      <c r="R9" s="16"/>
      <c r="S9" s="16"/>
      <c r="T9" s="21"/>
      <c r="U9" s="21"/>
      <c r="V9" s="21"/>
      <c r="W9" s="21"/>
    </row>
    <row r="10" spans="2:23" x14ac:dyDescent="0.25">
      <c r="B10" s="16"/>
      <c r="C10" s="16"/>
      <c r="D10" s="16"/>
      <c r="E10" s="16"/>
      <c r="F10" s="16"/>
      <c r="G10" s="16"/>
      <c r="H10" s="16"/>
      <c r="I10" s="16"/>
      <c r="J10" s="16"/>
      <c r="K10" s="16"/>
      <c r="L10" s="16"/>
      <c r="M10" s="16"/>
      <c r="N10" s="16"/>
      <c r="O10" s="16"/>
      <c r="P10" s="16"/>
      <c r="Q10" s="16"/>
      <c r="R10" s="16"/>
      <c r="S10" s="16"/>
      <c r="T10" s="21"/>
      <c r="U10" s="21"/>
      <c r="V10" s="21"/>
      <c r="W10" s="21"/>
    </row>
    <row r="11" spans="2:23" x14ac:dyDescent="0.25">
      <c r="B11" s="16"/>
      <c r="C11" s="16"/>
      <c r="D11" s="16"/>
      <c r="E11" s="16"/>
      <c r="F11" s="16"/>
      <c r="G11" s="16"/>
      <c r="H11" s="16"/>
      <c r="I11" s="16"/>
      <c r="J11" s="16"/>
      <c r="K11" s="16"/>
      <c r="L11" s="16"/>
      <c r="M11" s="16"/>
      <c r="N11" s="16"/>
      <c r="O11" s="16"/>
      <c r="P11" s="16"/>
      <c r="Q11" s="16"/>
      <c r="R11" s="16"/>
      <c r="S11" s="16"/>
      <c r="T11" s="21"/>
      <c r="U11" s="21"/>
      <c r="V11" s="21"/>
      <c r="W11" s="21"/>
    </row>
    <row r="12" spans="2:23" x14ac:dyDescent="0.25">
      <c r="B12" s="16"/>
      <c r="C12" s="16"/>
      <c r="D12" s="16"/>
      <c r="E12" s="16"/>
      <c r="F12" s="16"/>
      <c r="G12" s="16"/>
      <c r="H12" s="16"/>
      <c r="I12" s="16"/>
      <c r="J12" s="16"/>
      <c r="K12" s="16"/>
      <c r="L12" s="16"/>
      <c r="M12" s="16"/>
      <c r="N12" s="16"/>
      <c r="O12" s="16"/>
      <c r="P12" s="16"/>
      <c r="Q12" s="16"/>
      <c r="R12" s="16"/>
      <c r="S12" s="16"/>
      <c r="T12" s="21"/>
      <c r="U12" s="21"/>
      <c r="V12" s="21"/>
      <c r="W12" s="21"/>
    </row>
    <row r="13" spans="2:23" x14ac:dyDescent="0.25">
      <c r="B13" s="16"/>
      <c r="C13" s="16"/>
      <c r="D13" s="16"/>
      <c r="E13" s="16"/>
      <c r="F13" s="16"/>
      <c r="G13" s="16"/>
      <c r="H13" s="16"/>
      <c r="I13" s="16"/>
      <c r="J13" s="16"/>
      <c r="K13" s="16"/>
      <c r="L13" s="16"/>
      <c r="M13" s="16"/>
      <c r="N13" s="16"/>
      <c r="O13" s="16"/>
      <c r="P13" s="16"/>
      <c r="Q13" s="16"/>
      <c r="R13" s="16"/>
      <c r="S13" s="16"/>
      <c r="T13" s="21"/>
      <c r="U13" s="21"/>
      <c r="V13" s="21"/>
      <c r="W13" s="21"/>
    </row>
    <row r="14" spans="2:23" x14ac:dyDescent="0.25">
      <c r="B14" s="16"/>
      <c r="C14" s="16"/>
      <c r="D14" s="16"/>
      <c r="E14" s="16"/>
      <c r="F14" s="16"/>
      <c r="G14" s="16"/>
      <c r="H14" s="16"/>
      <c r="I14" s="16"/>
      <c r="J14" s="16"/>
      <c r="K14" s="16"/>
      <c r="L14" s="16"/>
      <c r="M14" s="16"/>
      <c r="N14" s="16"/>
      <c r="O14" s="16"/>
      <c r="P14" s="16"/>
      <c r="Q14" s="16"/>
      <c r="R14" s="16"/>
      <c r="S14" s="16"/>
      <c r="T14" s="21"/>
      <c r="U14" s="21"/>
      <c r="V14" s="21"/>
      <c r="W14" s="21"/>
    </row>
    <row r="15" spans="2:23" x14ac:dyDescent="0.25">
      <c r="B15" s="16"/>
      <c r="C15" s="16"/>
      <c r="D15" s="16"/>
      <c r="E15" s="16"/>
      <c r="F15" s="16"/>
      <c r="G15" s="16"/>
      <c r="H15" s="16"/>
      <c r="I15" s="16"/>
      <c r="J15" s="16"/>
      <c r="K15" s="16"/>
      <c r="L15" s="16"/>
      <c r="M15" s="16"/>
      <c r="N15" s="16"/>
      <c r="O15" s="16"/>
      <c r="P15" s="16"/>
      <c r="Q15" s="16"/>
      <c r="R15" s="16"/>
      <c r="S15" s="16"/>
      <c r="T15" s="21"/>
      <c r="U15" s="21"/>
      <c r="V15" s="21"/>
      <c r="W15" s="21"/>
    </row>
    <row r="16" spans="2:23" x14ac:dyDescent="0.25">
      <c r="B16" s="16"/>
      <c r="C16" s="16"/>
      <c r="D16" s="16"/>
      <c r="E16" s="16"/>
      <c r="F16" s="16"/>
      <c r="G16" s="16"/>
      <c r="H16" s="16"/>
      <c r="I16" s="16"/>
      <c r="J16" s="16"/>
      <c r="K16" s="16"/>
      <c r="L16" s="16"/>
      <c r="M16" s="16"/>
      <c r="N16" s="16"/>
      <c r="O16" s="16"/>
      <c r="P16" s="16"/>
      <c r="Q16" s="16"/>
      <c r="R16" s="16"/>
      <c r="S16" s="16"/>
      <c r="T16" s="21"/>
      <c r="U16" s="21"/>
      <c r="V16" s="21"/>
      <c r="W16" s="21"/>
    </row>
    <row r="17" spans="2:23" x14ac:dyDescent="0.25">
      <c r="B17" s="16"/>
      <c r="C17" s="16"/>
      <c r="D17" s="16"/>
      <c r="E17" s="19"/>
      <c r="F17" s="16"/>
      <c r="G17" s="16"/>
      <c r="H17" s="16"/>
      <c r="I17" s="16"/>
      <c r="J17" s="16"/>
      <c r="K17" s="16"/>
      <c r="L17" s="16"/>
      <c r="M17" s="16"/>
      <c r="N17" s="16"/>
      <c r="O17" s="16"/>
      <c r="P17" s="16"/>
      <c r="Q17" s="16"/>
      <c r="R17" s="16"/>
      <c r="S17" s="16"/>
      <c r="T17" s="21"/>
      <c r="U17" s="21"/>
      <c r="V17" s="21"/>
      <c r="W17" s="21"/>
    </row>
    <row r="18" spans="2:23" x14ac:dyDescent="0.25">
      <c r="B18" s="16"/>
      <c r="C18" s="16"/>
      <c r="D18" s="16"/>
      <c r="E18" s="16"/>
      <c r="F18" s="16"/>
      <c r="G18" s="16"/>
      <c r="H18" s="16"/>
      <c r="I18" s="16"/>
      <c r="J18" s="16"/>
      <c r="K18" s="16"/>
      <c r="L18" s="16"/>
      <c r="M18" s="16"/>
      <c r="N18" s="16"/>
      <c r="O18" s="16"/>
      <c r="P18" s="16"/>
      <c r="Q18" s="16"/>
      <c r="R18" s="16"/>
      <c r="S18" s="16"/>
      <c r="T18" s="21"/>
      <c r="U18" s="21"/>
      <c r="V18" s="21"/>
      <c r="W18" s="21"/>
    </row>
    <row r="19" spans="2:23" x14ac:dyDescent="0.25">
      <c r="B19" s="16"/>
      <c r="C19" s="16"/>
      <c r="D19" s="16"/>
      <c r="E19" s="16"/>
      <c r="F19" s="16"/>
      <c r="G19" s="16"/>
      <c r="H19" s="16"/>
      <c r="I19" s="16"/>
      <c r="J19" s="16"/>
      <c r="K19" s="16"/>
      <c r="L19" s="16"/>
      <c r="M19" s="16"/>
      <c r="N19" s="16"/>
      <c r="O19" s="16"/>
      <c r="P19" s="16"/>
      <c r="Q19" s="16"/>
      <c r="R19" s="16"/>
      <c r="S19" s="16"/>
      <c r="T19" s="21"/>
      <c r="U19" s="21"/>
      <c r="V19" s="21"/>
      <c r="W19" s="21"/>
    </row>
    <row r="20" spans="2:23" x14ac:dyDescent="0.25">
      <c r="B20" s="16"/>
      <c r="C20" s="16"/>
      <c r="D20" s="16"/>
      <c r="E20" s="16"/>
      <c r="F20" s="16"/>
      <c r="G20" s="16"/>
      <c r="H20" s="16"/>
      <c r="I20" s="16"/>
      <c r="J20" s="16"/>
      <c r="K20" s="16"/>
      <c r="L20" s="16"/>
      <c r="M20" s="16"/>
      <c r="N20" s="16"/>
      <c r="O20" s="16"/>
      <c r="P20" s="16"/>
      <c r="Q20" s="16"/>
      <c r="R20" s="16"/>
      <c r="S20" s="16"/>
      <c r="T20" s="21"/>
      <c r="U20" s="21"/>
      <c r="V20" s="21"/>
      <c r="W20" s="21"/>
    </row>
    <row r="21" spans="2:23" x14ac:dyDescent="0.25">
      <c r="B21" s="16"/>
      <c r="C21" s="16"/>
      <c r="D21" s="16"/>
      <c r="E21" s="16"/>
      <c r="F21" s="16"/>
      <c r="G21" s="16"/>
      <c r="H21" s="16"/>
      <c r="I21" s="16"/>
      <c r="J21" s="16"/>
      <c r="K21" s="16"/>
      <c r="L21" s="16"/>
      <c r="M21" s="16"/>
      <c r="N21" s="16"/>
      <c r="O21" s="16"/>
      <c r="P21" s="16"/>
      <c r="Q21" s="16"/>
      <c r="R21" s="16"/>
      <c r="S21" s="16"/>
      <c r="T21" s="21"/>
      <c r="U21" s="21"/>
      <c r="V21" s="21"/>
      <c r="W21" s="21"/>
    </row>
    <row r="22" spans="2:23" x14ac:dyDescent="0.25">
      <c r="B22" s="16"/>
      <c r="C22" s="16"/>
      <c r="D22" s="16"/>
      <c r="E22" s="16"/>
      <c r="F22" s="16"/>
      <c r="G22" s="16"/>
      <c r="H22" s="16"/>
      <c r="I22" s="16"/>
      <c r="J22" s="16"/>
      <c r="K22" s="16"/>
      <c r="L22" s="16"/>
      <c r="M22" s="16"/>
      <c r="N22" s="16"/>
      <c r="O22" s="16"/>
      <c r="P22" s="16"/>
      <c r="Q22" s="16"/>
      <c r="R22" s="16"/>
      <c r="S22" s="16"/>
      <c r="T22" s="21"/>
      <c r="U22" s="21"/>
      <c r="V22" s="21"/>
      <c r="W22" s="21"/>
    </row>
    <row r="23" spans="2:23" x14ac:dyDescent="0.25">
      <c r="B23" s="16"/>
      <c r="C23" s="16"/>
      <c r="D23" s="16"/>
      <c r="E23" s="16"/>
      <c r="F23" s="16"/>
      <c r="G23" s="16"/>
      <c r="H23" s="16"/>
      <c r="I23" s="16"/>
      <c r="J23" s="16"/>
      <c r="K23" s="16"/>
      <c r="L23" s="16"/>
      <c r="M23" s="16"/>
      <c r="N23" s="16"/>
      <c r="O23" s="16"/>
      <c r="P23" s="16"/>
      <c r="Q23" s="16"/>
      <c r="R23" s="16"/>
      <c r="S23" s="16"/>
      <c r="T23" s="21"/>
      <c r="U23" s="21"/>
      <c r="V23" s="21"/>
      <c r="W23" s="21"/>
    </row>
    <row r="24" spans="2:23" x14ac:dyDescent="0.25">
      <c r="B24" s="16"/>
      <c r="C24" s="16"/>
      <c r="D24" s="16"/>
      <c r="E24" s="16"/>
      <c r="F24" s="16"/>
      <c r="G24" s="16"/>
      <c r="H24" s="16"/>
      <c r="I24" s="16"/>
      <c r="J24" s="16"/>
      <c r="K24" s="16"/>
      <c r="L24" s="16"/>
      <c r="M24" s="16"/>
      <c r="N24" s="16"/>
      <c r="O24" s="16"/>
      <c r="P24" s="16"/>
      <c r="Q24" s="16"/>
      <c r="R24" s="16"/>
      <c r="S24" s="16"/>
      <c r="T24" s="21"/>
      <c r="U24" s="21"/>
      <c r="V24" s="21"/>
      <c r="W24" s="21"/>
    </row>
    <row r="25" spans="2:23" x14ac:dyDescent="0.25">
      <c r="B25" s="16"/>
      <c r="C25" s="16"/>
      <c r="D25" s="16"/>
      <c r="E25" s="16"/>
      <c r="F25" s="16"/>
      <c r="G25" s="16"/>
      <c r="H25" s="16"/>
      <c r="I25" s="16"/>
      <c r="J25" s="16"/>
      <c r="K25" s="16"/>
      <c r="L25" s="16"/>
      <c r="M25" s="16"/>
      <c r="N25" s="16"/>
      <c r="O25" s="16"/>
      <c r="P25" s="16"/>
      <c r="Q25" s="16"/>
      <c r="R25" s="16"/>
      <c r="S25" s="16"/>
      <c r="T25" s="21"/>
      <c r="U25" s="21"/>
      <c r="V25" s="21"/>
      <c r="W25" s="21"/>
    </row>
    <row r="26" spans="2:23" x14ac:dyDescent="0.25">
      <c r="B26" s="16"/>
      <c r="C26" s="16"/>
      <c r="D26" s="16"/>
      <c r="E26" s="16"/>
      <c r="F26" s="16"/>
      <c r="G26" s="16"/>
      <c r="H26" s="16"/>
      <c r="I26" s="16"/>
      <c r="J26" s="16"/>
      <c r="K26" s="16"/>
      <c r="L26" s="16"/>
      <c r="M26" s="16"/>
      <c r="N26" s="16"/>
      <c r="O26" s="16"/>
      <c r="P26" s="16"/>
      <c r="Q26" s="16"/>
      <c r="R26" s="16"/>
      <c r="S26" s="16"/>
      <c r="T26" s="21"/>
      <c r="U26" s="21"/>
      <c r="V26" s="21"/>
      <c r="W26" s="21"/>
    </row>
    <row r="27" spans="2:23" x14ac:dyDescent="0.25">
      <c r="B27" s="16"/>
      <c r="C27" s="16"/>
      <c r="D27" s="16"/>
      <c r="E27" s="16"/>
      <c r="F27" s="16"/>
      <c r="G27" s="16"/>
      <c r="H27" s="16"/>
      <c r="I27" s="16"/>
      <c r="J27" s="16"/>
      <c r="K27" s="16"/>
      <c r="L27" s="16"/>
      <c r="M27" s="16"/>
      <c r="N27" s="16"/>
      <c r="O27" s="16"/>
      <c r="P27" s="16"/>
      <c r="Q27" s="16"/>
      <c r="R27" s="16"/>
      <c r="S27" s="16"/>
      <c r="T27" s="21"/>
      <c r="U27" s="21"/>
      <c r="V27" s="21"/>
      <c r="W27" s="21"/>
    </row>
    <row r="28" spans="2:23" x14ac:dyDescent="0.25">
      <c r="B28" s="16"/>
      <c r="C28" s="16"/>
      <c r="D28" s="16"/>
      <c r="E28" s="16"/>
      <c r="F28" s="16"/>
      <c r="G28" s="16"/>
      <c r="H28" s="16"/>
      <c r="I28" s="16"/>
      <c r="J28" s="16"/>
      <c r="K28" s="16"/>
      <c r="L28" s="16"/>
      <c r="M28" s="16"/>
      <c r="N28" s="16"/>
      <c r="O28" s="16"/>
      <c r="P28" s="16"/>
      <c r="Q28" s="16"/>
      <c r="R28" s="16"/>
      <c r="S28" s="16"/>
      <c r="T28" s="21"/>
      <c r="U28" s="21"/>
      <c r="V28" s="21"/>
      <c r="W28" s="21"/>
    </row>
    <row r="29" spans="2:23" x14ac:dyDescent="0.25">
      <c r="B29" s="16"/>
      <c r="C29" s="16"/>
      <c r="D29" s="16"/>
      <c r="E29" s="16"/>
      <c r="F29" s="16"/>
      <c r="G29" s="16"/>
      <c r="H29" s="16"/>
      <c r="I29" s="16"/>
      <c r="J29" s="16"/>
      <c r="K29" s="16"/>
      <c r="L29" s="16"/>
      <c r="M29" s="16"/>
      <c r="N29" s="16"/>
      <c r="O29" s="16"/>
      <c r="P29" s="16"/>
      <c r="Q29" s="16"/>
      <c r="R29" s="16"/>
      <c r="S29" s="16"/>
      <c r="T29" s="21"/>
      <c r="U29" s="21"/>
      <c r="V29" s="21"/>
      <c r="W29" s="21"/>
    </row>
    <row r="30" spans="2:23" x14ac:dyDescent="0.25">
      <c r="B30" s="16"/>
      <c r="C30" s="16"/>
      <c r="D30" s="16"/>
      <c r="E30" s="16"/>
      <c r="F30" s="16"/>
      <c r="G30" s="16"/>
      <c r="H30" s="16"/>
      <c r="I30" s="16"/>
      <c r="J30" s="16"/>
      <c r="K30" s="16"/>
      <c r="L30" s="16"/>
      <c r="M30" s="16"/>
      <c r="N30" s="16"/>
      <c r="O30" s="16"/>
      <c r="P30" s="16"/>
      <c r="Q30" s="16"/>
      <c r="R30" s="16"/>
      <c r="S30" s="16"/>
      <c r="T30" s="21"/>
      <c r="U30" s="21"/>
      <c r="V30" s="21"/>
      <c r="W30" s="21"/>
    </row>
    <row r="31" spans="2:23" x14ac:dyDescent="0.25">
      <c r="B31" s="16"/>
      <c r="C31" s="16"/>
      <c r="D31" s="16"/>
      <c r="E31" s="16"/>
      <c r="F31" s="16"/>
      <c r="G31" s="16"/>
      <c r="H31" s="16"/>
      <c r="I31" s="16"/>
      <c r="J31" s="16"/>
      <c r="K31" s="16"/>
      <c r="L31" s="16"/>
      <c r="M31" s="16"/>
      <c r="N31" s="16"/>
      <c r="O31" s="16"/>
      <c r="P31" s="16"/>
      <c r="Q31" s="16"/>
      <c r="R31" s="16"/>
      <c r="S31" s="16"/>
      <c r="T31" s="21"/>
      <c r="U31" s="21"/>
      <c r="V31" s="21"/>
      <c r="W31" s="21"/>
    </row>
    <row r="32" spans="2:23" x14ac:dyDescent="0.25">
      <c r="B32" s="16"/>
      <c r="C32" s="16"/>
      <c r="D32" s="16"/>
      <c r="E32" s="16"/>
      <c r="F32" s="16"/>
      <c r="G32" s="16"/>
      <c r="H32" s="16"/>
      <c r="I32" s="16"/>
      <c r="J32" s="16"/>
      <c r="K32" s="16"/>
      <c r="L32" s="16"/>
      <c r="M32" s="16"/>
      <c r="N32" s="16"/>
      <c r="O32" s="16"/>
      <c r="P32" s="16"/>
      <c r="Q32" s="16"/>
      <c r="R32" s="16"/>
      <c r="S32" s="16"/>
      <c r="T32" s="21"/>
      <c r="U32" s="21"/>
      <c r="V32" s="21"/>
      <c r="W32" s="21"/>
    </row>
    <row r="33" spans="2:23" x14ac:dyDescent="0.25">
      <c r="B33" s="16"/>
      <c r="C33" s="16"/>
      <c r="D33" s="16"/>
      <c r="E33" s="16"/>
      <c r="F33" s="16"/>
      <c r="G33" s="16"/>
      <c r="H33" s="16"/>
      <c r="I33" s="16"/>
      <c r="J33" s="16"/>
      <c r="K33" s="16"/>
      <c r="L33" s="16"/>
      <c r="M33" s="16"/>
      <c r="N33" s="16"/>
      <c r="O33" s="16"/>
      <c r="P33" s="16"/>
      <c r="Q33" s="16"/>
      <c r="R33" s="16"/>
      <c r="S33" s="16"/>
      <c r="T33" s="21"/>
      <c r="U33" s="21"/>
      <c r="V33" s="21"/>
      <c r="W33" s="21"/>
    </row>
    <row r="34" spans="2:23" x14ac:dyDescent="0.25">
      <c r="B34" s="16"/>
      <c r="C34" s="16"/>
      <c r="D34" s="16"/>
      <c r="E34" s="16"/>
      <c r="F34" s="16"/>
      <c r="G34" s="16"/>
      <c r="H34" s="16"/>
      <c r="I34" s="16"/>
      <c r="J34" s="16"/>
      <c r="K34" s="16"/>
      <c r="L34" s="16"/>
      <c r="M34" s="16"/>
      <c r="N34" s="16"/>
      <c r="O34" s="16"/>
      <c r="P34" s="16"/>
      <c r="Q34" s="16"/>
      <c r="R34" s="16"/>
      <c r="S34" s="16"/>
      <c r="T34" s="21"/>
      <c r="U34" s="21"/>
      <c r="V34" s="21"/>
      <c r="W34" s="21"/>
    </row>
    <row r="35" spans="2:23" x14ac:dyDescent="0.25">
      <c r="B35" s="16"/>
      <c r="C35" s="16"/>
      <c r="D35" s="16"/>
      <c r="E35" s="16"/>
      <c r="F35" s="16"/>
      <c r="G35" s="16"/>
      <c r="H35" s="16"/>
      <c r="I35" s="16"/>
      <c r="J35" s="16"/>
      <c r="K35" s="16"/>
      <c r="L35" s="16"/>
      <c r="M35" s="16"/>
      <c r="N35" s="16"/>
      <c r="O35" s="16"/>
      <c r="P35" s="16"/>
      <c r="Q35" s="16"/>
      <c r="R35" s="16"/>
      <c r="S35" s="16"/>
      <c r="T35" s="21"/>
      <c r="U35" s="21"/>
      <c r="V35" s="21"/>
      <c r="W35" s="21"/>
    </row>
    <row r="36" spans="2:23" x14ac:dyDescent="0.25">
      <c r="B36" s="16"/>
      <c r="C36" s="16"/>
      <c r="D36" s="16"/>
      <c r="E36" s="16"/>
      <c r="F36" s="16"/>
      <c r="G36" s="16"/>
      <c r="H36" s="16"/>
      <c r="I36" s="16"/>
      <c r="J36" s="16"/>
      <c r="K36" s="16"/>
      <c r="L36" s="16"/>
      <c r="M36" s="16"/>
      <c r="N36" s="16"/>
      <c r="O36" s="16"/>
      <c r="P36" s="16"/>
      <c r="Q36" s="16"/>
      <c r="R36" s="16"/>
      <c r="S36" s="16"/>
      <c r="T36" s="21"/>
      <c r="U36" s="21"/>
      <c r="V36" s="21"/>
      <c r="W36" s="21"/>
    </row>
    <row r="37" spans="2:23" x14ac:dyDescent="0.25">
      <c r="B37" s="16"/>
      <c r="C37" s="16"/>
      <c r="D37" s="16"/>
      <c r="E37" s="16"/>
      <c r="F37" s="16"/>
      <c r="G37" s="16"/>
      <c r="H37" s="16"/>
      <c r="I37" s="16"/>
      <c r="J37" s="16"/>
      <c r="K37" s="16"/>
      <c r="L37" s="16"/>
      <c r="M37" s="16"/>
      <c r="N37" s="16"/>
      <c r="O37" s="16"/>
      <c r="P37" s="16"/>
      <c r="Q37" s="16"/>
      <c r="R37" s="16"/>
      <c r="S37" s="16"/>
      <c r="T37" s="21"/>
      <c r="U37" s="21"/>
      <c r="V37" s="21"/>
      <c r="W37" s="21"/>
    </row>
    <row r="38" spans="2:23" x14ac:dyDescent="0.25">
      <c r="B38" s="16"/>
      <c r="C38" s="16"/>
      <c r="D38" s="16"/>
      <c r="E38" s="16"/>
      <c r="F38" s="16"/>
      <c r="G38" s="16"/>
      <c r="H38" s="16"/>
      <c r="I38" s="16"/>
      <c r="J38" s="16"/>
      <c r="K38" s="16"/>
      <c r="L38" s="16"/>
      <c r="M38" s="16"/>
      <c r="N38" s="16"/>
      <c r="O38" s="16"/>
      <c r="P38" s="16"/>
      <c r="Q38" s="16"/>
      <c r="R38" s="16"/>
      <c r="S38" s="16"/>
      <c r="T38" s="21"/>
      <c r="U38" s="21"/>
      <c r="V38" s="21"/>
      <c r="W38" s="21"/>
    </row>
    <row r="39" spans="2:23" x14ac:dyDescent="0.25">
      <c r="B39" s="16"/>
      <c r="C39" s="16"/>
      <c r="D39" s="16"/>
      <c r="E39" s="16"/>
      <c r="F39" s="16"/>
      <c r="G39" s="16"/>
      <c r="H39" s="16"/>
      <c r="I39" s="16"/>
      <c r="J39" s="16"/>
      <c r="K39" s="16"/>
      <c r="L39" s="16"/>
      <c r="M39" s="16"/>
      <c r="N39" s="16"/>
      <c r="O39" s="16"/>
      <c r="P39" s="16"/>
      <c r="Q39" s="16"/>
      <c r="R39" s="16"/>
      <c r="S39" s="16"/>
      <c r="T39" s="21"/>
      <c r="U39" s="21"/>
      <c r="V39" s="21"/>
      <c r="W39" s="21"/>
    </row>
    <row r="40" spans="2:23" x14ac:dyDescent="0.25">
      <c r="B40" s="16"/>
      <c r="C40" s="16"/>
      <c r="D40" s="16"/>
      <c r="E40" s="16"/>
      <c r="F40" s="16"/>
      <c r="G40" s="16"/>
      <c r="H40" s="16"/>
      <c r="I40" s="16"/>
      <c r="J40" s="16"/>
      <c r="K40" s="16"/>
      <c r="L40" s="16"/>
      <c r="M40" s="16"/>
      <c r="N40" s="16"/>
      <c r="O40" s="16"/>
      <c r="P40" s="16"/>
      <c r="Q40" s="16"/>
      <c r="R40" s="16"/>
      <c r="S40" s="16"/>
      <c r="T40" s="21"/>
      <c r="U40" s="21"/>
      <c r="V40" s="21"/>
      <c r="W40" s="21"/>
    </row>
    <row r="41" spans="2:23" x14ac:dyDescent="0.25">
      <c r="B41" s="16"/>
      <c r="C41" s="16"/>
      <c r="D41" s="16"/>
      <c r="E41" s="16"/>
      <c r="F41" s="16"/>
      <c r="G41" s="16"/>
      <c r="H41" s="16"/>
      <c r="I41" s="16"/>
      <c r="J41" s="16"/>
      <c r="K41" s="16"/>
      <c r="L41" s="16"/>
      <c r="M41" s="16"/>
      <c r="N41" s="16"/>
      <c r="O41" s="16"/>
      <c r="P41" s="16"/>
      <c r="Q41" s="16"/>
      <c r="R41" s="16"/>
      <c r="S41" s="16"/>
      <c r="T41" s="21"/>
      <c r="U41" s="21"/>
      <c r="V41" s="21"/>
      <c r="W41" s="21"/>
    </row>
    <row r="42" spans="2:23" x14ac:dyDescent="0.25">
      <c r="B42" s="16"/>
      <c r="C42" s="16"/>
      <c r="D42" s="16"/>
      <c r="E42" s="16"/>
      <c r="F42" s="16"/>
      <c r="G42" s="16"/>
      <c r="H42" s="16"/>
      <c r="I42" s="16"/>
      <c r="J42" s="16"/>
      <c r="K42" s="16"/>
      <c r="L42" s="16"/>
      <c r="M42" s="16"/>
      <c r="N42" s="16"/>
      <c r="O42" s="16"/>
      <c r="P42" s="16"/>
      <c r="Q42" s="16"/>
      <c r="R42" s="16"/>
      <c r="S42" s="16"/>
      <c r="T42" s="21"/>
      <c r="U42" s="21"/>
      <c r="V42" s="21"/>
      <c r="W42" s="21"/>
    </row>
    <row r="43" spans="2:23" x14ac:dyDescent="0.25">
      <c r="B43" s="16"/>
      <c r="C43" s="16"/>
      <c r="D43" s="16"/>
      <c r="E43" s="16"/>
      <c r="F43" s="16"/>
      <c r="G43" s="16"/>
      <c r="H43" s="16"/>
      <c r="I43" s="16"/>
      <c r="J43" s="16"/>
      <c r="K43" s="16"/>
      <c r="L43" s="16"/>
      <c r="M43" s="16"/>
      <c r="N43" s="16"/>
      <c r="O43" s="16"/>
      <c r="P43" s="16"/>
      <c r="Q43" s="16"/>
      <c r="R43" s="16"/>
      <c r="S43" s="16"/>
      <c r="T43" s="21"/>
      <c r="U43" s="21"/>
      <c r="V43" s="21"/>
      <c r="W43" s="21"/>
    </row>
    <row r="44" spans="2:23" x14ac:dyDescent="0.25">
      <c r="B44" s="16"/>
      <c r="C44" s="16"/>
      <c r="D44" s="16"/>
      <c r="E44" s="16"/>
      <c r="F44" s="16"/>
      <c r="G44" s="16"/>
      <c r="H44" s="16"/>
      <c r="I44" s="16"/>
      <c r="J44" s="16"/>
      <c r="K44" s="16"/>
      <c r="L44" s="16"/>
      <c r="M44" s="16"/>
      <c r="N44" s="16"/>
      <c r="O44" s="16"/>
      <c r="P44" s="16"/>
      <c r="Q44" s="16"/>
      <c r="R44" s="16"/>
      <c r="S44" s="16"/>
      <c r="T44" s="21"/>
      <c r="U44" s="21"/>
      <c r="V44" s="21"/>
      <c r="W44" s="21"/>
    </row>
    <row r="45" spans="2:23" x14ac:dyDescent="0.25">
      <c r="B45" s="16"/>
      <c r="C45" s="16"/>
      <c r="D45" s="16"/>
      <c r="E45" s="16"/>
      <c r="F45" s="16"/>
      <c r="G45" s="16"/>
      <c r="H45" s="16"/>
      <c r="I45" s="16"/>
      <c r="J45" s="16"/>
      <c r="K45" s="16"/>
      <c r="L45" s="16"/>
      <c r="M45" s="16"/>
      <c r="N45" s="16"/>
      <c r="O45" s="16"/>
      <c r="P45" s="16"/>
      <c r="Q45" s="16"/>
      <c r="R45" s="16"/>
      <c r="S45" s="16"/>
      <c r="T45" s="21"/>
      <c r="U45" s="21"/>
      <c r="V45" s="21"/>
      <c r="W45" s="21"/>
    </row>
    <row r="46" spans="2:23" x14ac:dyDescent="0.25">
      <c r="B46" s="16"/>
      <c r="C46" s="16"/>
      <c r="D46" s="16"/>
      <c r="E46" s="16"/>
      <c r="F46" s="16"/>
      <c r="G46" s="16"/>
      <c r="H46" s="16"/>
      <c r="I46" s="16"/>
      <c r="J46" s="16"/>
      <c r="K46" s="16"/>
      <c r="L46" s="16"/>
      <c r="M46" s="16"/>
      <c r="N46" s="16"/>
      <c r="O46" s="16"/>
      <c r="P46" s="16"/>
      <c r="Q46" s="16"/>
      <c r="R46" s="16"/>
      <c r="S46" s="16"/>
      <c r="T46" s="21"/>
      <c r="U46" s="21"/>
      <c r="V46" s="21"/>
      <c r="W46" s="21"/>
    </row>
    <row r="47" spans="2:23" x14ac:dyDescent="0.25">
      <c r="B47" s="16"/>
      <c r="C47" s="16"/>
      <c r="D47" s="16"/>
      <c r="E47" s="16"/>
      <c r="F47" s="16"/>
      <c r="G47" s="16"/>
      <c r="H47" s="16"/>
      <c r="I47" s="16"/>
      <c r="J47" s="16"/>
      <c r="K47" s="16"/>
      <c r="L47" s="16"/>
      <c r="M47" s="16"/>
      <c r="N47" s="16"/>
      <c r="O47" s="16"/>
      <c r="P47" s="16"/>
      <c r="Q47" s="16"/>
      <c r="R47" s="16"/>
      <c r="S47" s="16"/>
      <c r="T47" s="21"/>
      <c r="U47" s="21"/>
      <c r="V47" s="21"/>
      <c r="W47" s="21"/>
    </row>
    <row r="48" spans="2:23" x14ac:dyDescent="0.25">
      <c r="B48" s="16"/>
      <c r="C48" s="16"/>
      <c r="D48" s="16"/>
      <c r="E48" s="16"/>
      <c r="F48" s="16"/>
      <c r="G48" s="16"/>
      <c r="H48" s="16"/>
      <c r="I48" s="16"/>
      <c r="J48" s="16"/>
      <c r="K48" s="16"/>
      <c r="L48" s="16"/>
      <c r="M48" s="16"/>
      <c r="N48" s="16"/>
      <c r="O48" s="16"/>
      <c r="P48" s="16"/>
      <c r="Q48" s="16"/>
      <c r="R48" s="16"/>
      <c r="S48" s="16"/>
      <c r="T48" s="21"/>
      <c r="U48" s="21"/>
      <c r="V48" s="21"/>
      <c r="W48" s="21"/>
    </row>
    <row r="49" spans="2:23" x14ac:dyDescent="0.25">
      <c r="B49" s="16"/>
      <c r="C49" s="16"/>
      <c r="D49" s="16"/>
      <c r="E49" s="16"/>
      <c r="F49" s="16"/>
      <c r="G49" s="16"/>
      <c r="H49" s="16"/>
      <c r="I49" s="16"/>
      <c r="J49" s="16"/>
      <c r="K49" s="16"/>
      <c r="L49" s="16"/>
      <c r="M49" s="16"/>
      <c r="N49" s="16"/>
      <c r="O49" s="16"/>
      <c r="P49" s="16"/>
      <c r="Q49" s="16"/>
      <c r="R49" s="16"/>
      <c r="S49" s="16"/>
      <c r="T49" s="21"/>
      <c r="U49" s="21"/>
      <c r="V49" s="21"/>
      <c r="W49" s="21"/>
    </row>
    <row r="50" spans="2:23" x14ac:dyDescent="0.25">
      <c r="B50" s="16"/>
      <c r="C50" s="16"/>
      <c r="D50" s="16"/>
      <c r="E50" s="16"/>
      <c r="F50" s="16"/>
      <c r="G50" s="16"/>
      <c r="H50" s="16"/>
      <c r="I50" s="16"/>
      <c r="J50" s="16"/>
      <c r="K50" s="16"/>
      <c r="L50" s="16"/>
      <c r="M50" s="16"/>
      <c r="N50" s="16"/>
      <c r="O50" s="16"/>
      <c r="P50" s="16"/>
      <c r="Q50" s="16"/>
      <c r="R50" s="16"/>
      <c r="S50" s="16"/>
      <c r="T50" s="21"/>
      <c r="U50" s="21"/>
      <c r="V50" s="21"/>
      <c r="W50" s="21"/>
    </row>
    <row r="51" spans="2:23" x14ac:dyDescent="0.25">
      <c r="B51" s="16"/>
      <c r="C51" s="16"/>
      <c r="D51" s="16"/>
      <c r="E51" s="16"/>
      <c r="F51" s="16"/>
      <c r="G51" s="16"/>
      <c r="H51" s="16"/>
      <c r="I51" s="16"/>
      <c r="J51" s="16"/>
      <c r="K51" s="16"/>
      <c r="L51" s="16"/>
      <c r="M51" s="16"/>
      <c r="N51" s="16"/>
      <c r="O51" s="16"/>
      <c r="P51" s="16"/>
      <c r="Q51" s="16"/>
      <c r="R51" s="16"/>
      <c r="S51" s="16"/>
      <c r="T51" s="21"/>
      <c r="U51" s="21"/>
      <c r="V51" s="21"/>
      <c r="W51" s="21"/>
    </row>
    <row r="52" spans="2:23" x14ac:dyDescent="0.25">
      <c r="B52" s="16"/>
      <c r="C52" s="16"/>
      <c r="D52" s="16"/>
      <c r="E52" s="16"/>
      <c r="F52" s="16"/>
      <c r="G52" s="16"/>
      <c r="H52" s="16"/>
      <c r="I52" s="16"/>
      <c r="J52" s="16"/>
      <c r="K52" s="16"/>
      <c r="L52" s="16"/>
      <c r="M52" s="16"/>
      <c r="N52" s="16"/>
      <c r="O52" s="16"/>
      <c r="P52" s="16"/>
      <c r="Q52" s="16"/>
      <c r="R52" s="16"/>
      <c r="S52" s="16"/>
      <c r="T52" s="21"/>
      <c r="U52" s="21"/>
      <c r="V52" s="21"/>
      <c r="W52" s="21"/>
    </row>
    <row r="53" spans="2:23" x14ac:dyDescent="0.25">
      <c r="B53" s="16"/>
      <c r="C53" s="16"/>
      <c r="D53" s="16"/>
      <c r="E53" s="16"/>
      <c r="F53" s="16"/>
      <c r="G53" s="16"/>
      <c r="H53" s="16"/>
      <c r="I53" s="16"/>
      <c r="J53" s="16"/>
      <c r="K53" s="16"/>
      <c r="L53" s="16"/>
      <c r="M53" s="16"/>
      <c r="N53" s="16"/>
      <c r="O53" s="16"/>
      <c r="P53" s="16"/>
      <c r="Q53" s="16"/>
      <c r="R53" s="16"/>
      <c r="S53" s="16"/>
      <c r="T53" s="21"/>
      <c r="U53" s="21"/>
      <c r="V53" s="21"/>
      <c r="W53" s="21"/>
    </row>
    <row r="54" spans="2:23" x14ac:dyDescent="0.25">
      <c r="B54" s="16"/>
      <c r="C54" s="16"/>
      <c r="D54" s="16"/>
      <c r="E54" s="16"/>
      <c r="F54" s="16"/>
      <c r="G54" s="16"/>
      <c r="H54" s="16"/>
      <c r="I54" s="16"/>
      <c r="J54" s="16"/>
      <c r="K54" s="16"/>
      <c r="L54" s="16"/>
      <c r="M54" s="16"/>
      <c r="N54" s="16"/>
      <c r="O54" s="16"/>
      <c r="P54" s="16"/>
      <c r="Q54" s="16"/>
      <c r="R54" s="16"/>
      <c r="S54" s="16"/>
      <c r="T54" s="21"/>
      <c r="U54" s="21"/>
      <c r="V54" s="21"/>
      <c r="W54" s="21"/>
    </row>
    <row r="55" spans="2:23" x14ac:dyDescent="0.25">
      <c r="B55" s="16"/>
      <c r="C55" s="16"/>
      <c r="D55" s="16"/>
      <c r="E55" s="16"/>
      <c r="F55" s="16"/>
      <c r="G55" s="16"/>
      <c r="H55" s="16"/>
      <c r="I55" s="16"/>
      <c r="J55" s="16"/>
      <c r="K55" s="16"/>
      <c r="L55" s="16"/>
      <c r="M55" s="16"/>
      <c r="N55" s="16"/>
      <c r="O55" s="16"/>
      <c r="P55" s="16"/>
      <c r="Q55" s="16"/>
      <c r="R55" s="16"/>
      <c r="S55" s="16"/>
      <c r="T55" s="21"/>
      <c r="U55" s="21"/>
      <c r="V55" s="21"/>
      <c r="W55" s="21"/>
    </row>
    <row r="56" spans="2:23" x14ac:dyDescent="0.25">
      <c r="B56" s="16"/>
      <c r="C56" s="16"/>
      <c r="D56" s="16"/>
      <c r="E56" s="16"/>
      <c r="F56" s="16"/>
      <c r="G56" s="16"/>
      <c r="H56" s="16"/>
      <c r="I56" s="16"/>
      <c r="J56" s="16"/>
      <c r="K56" s="16"/>
      <c r="L56" s="16"/>
      <c r="M56" s="16"/>
      <c r="N56" s="16"/>
      <c r="O56" s="16"/>
      <c r="P56" s="16"/>
      <c r="Q56" s="16"/>
      <c r="R56" s="16"/>
      <c r="S56" s="16"/>
      <c r="T56" s="21"/>
      <c r="U56" s="21"/>
      <c r="V56" s="21"/>
      <c r="W56" s="21"/>
    </row>
    <row r="57" spans="2:23" x14ac:dyDescent="0.25">
      <c r="B57" s="16"/>
      <c r="C57" s="16"/>
      <c r="D57" s="16"/>
      <c r="E57" s="16"/>
      <c r="F57" s="16"/>
      <c r="G57" s="16"/>
      <c r="H57" s="16"/>
      <c r="I57" s="16"/>
      <c r="J57" s="16"/>
      <c r="K57" s="16"/>
      <c r="L57" s="16"/>
      <c r="M57" s="16"/>
      <c r="N57" s="16"/>
      <c r="O57" s="16"/>
      <c r="P57" s="16"/>
      <c r="Q57" s="16"/>
      <c r="R57" s="16"/>
      <c r="S57" s="16"/>
      <c r="T57" s="21"/>
      <c r="U57" s="21"/>
      <c r="V57" s="21"/>
      <c r="W57" s="21"/>
    </row>
  </sheetData>
  <mergeCells count="1">
    <mergeCell ref="T3:W5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60"/>
  <sheetViews>
    <sheetView topLeftCell="A23" zoomScale="48" zoomScaleNormal="48" workbookViewId="0">
      <selection activeCell="I69" sqref="I69"/>
    </sheetView>
  </sheetViews>
  <sheetFormatPr defaultRowHeight="15" x14ac:dyDescent="0.25"/>
  <sheetData>
    <row r="1" spans="1:24" x14ac:dyDescent="0.25">
      <c r="A1" s="16"/>
      <c r="B1" s="16"/>
      <c r="C1" s="16"/>
      <c r="D1" s="16"/>
      <c r="E1" s="16"/>
      <c r="F1" s="16"/>
      <c r="G1" s="16"/>
      <c r="H1" s="16"/>
      <c r="I1" s="16"/>
      <c r="J1" s="16"/>
      <c r="K1" s="16"/>
      <c r="L1" s="16"/>
      <c r="M1" s="16"/>
      <c r="N1" s="16"/>
      <c r="O1" s="16"/>
      <c r="P1" s="16"/>
      <c r="Q1" s="16"/>
      <c r="R1" s="16"/>
      <c r="S1" s="16"/>
      <c r="T1" s="16"/>
      <c r="U1" s="16"/>
      <c r="V1" s="16"/>
      <c r="W1" s="16"/>
      <c r="X1" s="16"/>
    </row>
    <row r="2" spans="1:24" x14ac:dyDescent="0.25">
      <c r="A2" s="16"/>
      <c r="B2" s="16"/>
      <c r="C2" s="16"/>
      <c r="D2" s="16"/>
      <c r="E2" s="16"/>
      <c r="F2" s="16"/>
      <c r="G2" s="16"/>
      <c r="H2" s="16"/>
      <c r="I2" s="16"/>
      <c r="J2" s="16"/>
      <c r="K2" s="16"/>
      <c r="L2" s="16"/>
      <c r="M2" s="16"/>
      <c r="N2" s="16"/>
      <c r="O2" s="16"/>
      <c r="P2" s="16"/>
      <c r="Q2" s="16"/>
      <c r="R2" s="16"/>
      <c r="S2" s="16"/>
      <c r="T2" s="16"/>
      <c r="U2" s="16"/>
      <c r="V2" s="16"/>
      <c r="W2" s="16"/>
      <c r="X2" s="16"/>
    </row>
    <row r="3" spans="1:24" x14ac:dyDescent="0.25">
      <c r="A3" s="16"/>
      <c r="B3" s="16"/>
      <c r="C3" s="16"/>
      <c r="D3" s="16"/>
      <c r="E3" s="16"/>
      <c r="F3" s="16"/>
      <c r="G3" s="16"/>
      <c r="H3" s="16"/>
      <c r="I3" s="16"/>
      <c r="J3" s="16"/>
      <c r="K3" s="16"/>
      <c r="L3" s="16"/>
      <c r="M3" s="16"/>
      <c r="N3" s="16"/>
      <c r="O3" s="16"/>
      <c r="P3" s="16"/>
      <c r="Q3" s="16"/>
      <c r="R3" s="16"/>
      <c r="S3" s="16"/>
      <c r="T3" s="16"/>
      <c r="U3" s="16"/>
      <c r="V3" s="16"/>
      <c r="W3" s="16"/>
      <c r="X3" s="16"/>
    </row>
    <row r="4" spans="1:24" x14ac:dyDescent="0.25">
      <c r="A4" s="16"/>
      <c r="B4" s="16"/>
      <c r="C4" s="16"/>
      <c r="D4" s="16"/>
      <c r="E4" s="16"/>
      <c r="F4" s="16"/>
      <c r="G4" s="16"/>
      <c r="H4" s="16"/>
      <c r="I4" s="16"/>
      <c r="J4" s="16"/>
      <c r="K4" s="16"/>
      <c r="L4" s="16"/>
      <c r="M4" s="16"/>
      <c r="N4" s="16"/>
      <c r="O4" s="16"/>
      <c r="P4" s="16"/>
      <c r="Q4" s="16"/>
      <c r="R4" s="16"/>
      <c r="S4" s="16"/>
      <c r="T4" s="16"/>
      <c r="U4" s="16"/>
      <c r="V4" s="16"/>
      <c r="W4" s="16"/>
      <c r="X4" s="16"/>
    </row>
    <row r="5" spans="1:24" x14ac:dyDescent="0.25">
      <c r="A5" s="16"/>
      <c r="B5" s="16"/>
      <c r="C5" s="16"/>
      <c r="D5" s="16"/>
      <c r="E5" s="16"/>
      <c r="F5" s="16"/>
      <c r="G5" s="16"/>
      <c r="H5" s="16"/>
      <c r="I5" s="16"/>
      <c r="J5" s="16"/>
      <c r="K5" s="16"/>
      <c r="L5" s="16"/>
      <c r="M5" s="16"/>
      <c r="N5" s="16"/>
      <c r="O5" s="16"/>
      <c r="P5" s="16"/>
      <c r="Q5" s="16"/>
      <c r="R5" s="16"/>
      <c r="S5" s="16"/>
      <c r="T5" s="16"/>
      <c r="U5" s="16"/>
      <c r="V5" s="16"/>
      <c r="W5" s="16"/>
      <c r="X5" s="16"/>
    </row>
    <row r="6" spans="1:24" x14ac:dyDescent="0.25">
      <c r="A6" s="16"/>
      <c r="B6" s="16"/>
      <c r="C6" s="16"/>
      <c r="D6" s="16"/>
      <c r="E6" s="16"/>
      <c r="F6" s="16"/>
      <c r="G6" s="16"/>
      <c r="H6" s="16"/>
      <c r="I6" s="16"/>
      <c r="J6" s="16"/>
      <c r="K6" s="16"/>
      <c r="L6" s="16"/>
      <c r="M6" s="16"/>
      <c r="N6" s="16"/>
      <c r="O6" s="16"/>
      <c r="P6" s="16"/>
      <c r="Q6" s="16"/>
      <c r="R6" s="16"/>
      <c r="S6" s="16"/>
      <c r="T6" s="16"/>
      <c r="U6" s="16"/>
      <c r="V6" s="16"/>
      <c r="W6" s="16"/>
      <c r="X6" s="16"/>
    </row>
    <row r="7" spans="1:24" x14ac:dyDescent="0.25">
      <c r="A7" s="16"/>
      <c r="B7" s="16"/>
      <c r="C7" s="16"/>
      <c r="D7" s="16"/>
      <c r="E7" s="16"/>
      <c r="F7" s="16"/>
      <c r="G7" s="16"/>
      <c r="H7" s="16"/>
      <c r="I7" s="16"/>
      <c r="J7" s="16"/>
      <c r="K7" s="16"/>
      <c r="L7" s="16"/>
      <c r="M7" s="16"/>
      <c r="N7" s="16"/>
      <c r="O7" s="16"/>
      <c r="P7" s="16"/>
      <c r="Q7" s="16"/>
      <c r="R7" s="16"/>
      <c r="S7" s="16"/>
      <c r="T7" s="16"/>
      <c r="U7" s="16"/>
      <c r="V7" s="16"/>
      <c r="W7" s="16"/>
      <c r="X7" s="16"/>
    </row>
    <row r="8" spans="1:24" x14ac:dyDescent="0.25">
      <c r="A8" s="16"/>
      <c r="B8" s="16"/>
      <c r="C8" s="16"/>
      <c r="D8" s="16"/>
      <c r="E8" s="16"/>
      <c r="F8" s="16"/>
      <c r="G8" s="16"/>
      <c r="H8" s="16"/>
      <c r="I8" s="16"/>
      <c r="J8" s="16"/>
      <c r="K8" s="16"/>
      <c r="L8" s="16"/>
      <c r="M8" s="16"/>
      <c r="N8" s="16"/>
      <c r="O8" s="16"/>
      <c r="P8" s="16"/>
      <c r="Q8" s="16"/>
      <c r="R8" s="16"/>
      <c r="S8" s="16"/>
      <c r="T8" s="16"/>
      <c r="U8" s="16"/>
      <c r="V8" s="16"/>
      <c r="W8" s="16"/>
      <c r="X8" s="16"/>
    </row>
    <row r="9" spans="1:24" x14ac:dyDescent="0.25">
      <c r="A9" s="16"/>
      <c r="B9" s="16"/>
      <c r="C9" s="16"/>
      <c r="D9" s="16"/>
      <c r="E9" s="16"/>
      <c r="F9" s="16"/>
      <c r="G9" s="16"/>
      <c r="H9" s="16"/>
      <c r="I9" s="16"/>
      <c r="J9" s="16"/>
      <c r="K9" s="16"/>
      <c r="L9" s="16"/>
      <c r="M9" s="16"/>
      <c r="N9" s="16"/>
      <c r="O9" s="16"/>
      <c r="P9" s="16"/>
      <c r="Q9" s="16"/>
      <c r="R9" s="16"/>
      <c r="S9" s="16"/>
      <c r="T9" s="16"/>
      <c r="U9" s="16"/>
      <c r="V9" s="16"/>
      <c r="W9" s="16"/>
      <c r="X9" s="16"/>
    </row>
    <row r="10" spans="1:24" x14ac:dyDescent="0.25">
      <c r="A10" s="16"/>
      <c r="B10" s="16"/>
      <c r="C10" s="16"/>
      <c r="D10" s="16"/>
      <c r="E10" s="16"/>
      <c r="F10" s="16"/>
      <c r="G10" s="16"/>
      <c r="H10" s="16"/>
      <c r="I10" s="16"/>
      <c r="J10" s="16"/>
      <c r="K10" s="16"/>
      <c r="L10" s="16"/>
      <c r="M10" s="16"/>
      <c r="N10" s="16"/>
      <c r="O10" s="16"/>
      <c r="P10" s="16"/>
      <c r="Q10" s="16"/>
      <c r="R10" s="16"/>
      <c r="S10" s="16"/>
      <c r="T10" s="16"/>
      <c r="U10" s="16"/>
      <c r="V10" s="16"/>
      <c r="W10" s="16"/>
      <c r="X10" s="16"/>
    </row>
    <row r="11" spans="1:24" x14ac:dyDescent="0.25">
      <c r="A11" s="16"/>
      <c r="B11" s="16"/>
      <c r="C11" s="16"/>
      <c r="D11" s="16"/>
      <c r="E11" s="16"/>
      <c r="F11" s="16"/>
      <c r="G11" s="16"/>
      <c r="H11" s="16"/>
      <c r="I11" s="16"/>
      <c r="J11" s="16"/>
      <c r="K11" s="16"/>
      <c r="L11" s="16"/>
      <c r="M11" s="16"/>
      <c r="N11" s="16"/>
      <c r="O11" s="16"/>
      <c r="P11" s="16"/>
      <c r="Q11" s="16"/>
      <c r="R11" s="16"/>
      <c r="S11" s="16"/>
      <c r="T11" s="16"/>
      <c r="U11" s="16"/>
      <c r="V11" s="16"/>
      <c r="W11" s="16"/>
      <c r="X11" s="16"/>
    </row>
    <row r="12" spans="1:24" x14ac:dyDescent="0.25">
      <c r="A12" s="16"/>
      <c r="B12" s="16"/>
      <c r="C12" s="16"/>
      <c r="D12" s="16"/>
      <c r="E12" s="16"/>
      <c r="F12" s="16"/>
      <c r="G12" s="16"/>
      <c r="H12" s="16"/>
      <c r="I12" s="16"/>
      <c r="J12" s="16"/>
      <c r="K12" s="16"/>
      <c r="L12" s="16"/>
      <c r="M12" s="16"/>
      <c r="N12" s="16"/>
      <c r="O12" s="16"/>
      <c r="P12" s="16"/>
      <c r="Q12" s="16"/>
      <c r="R12" s="16"/>
      <c r="S12" s="16"/>
      <c r="T12" s="16"/>
      <c r="U12" s="16"/>
      <c r="V12" s="16"/>
      <c r="W12" s="16"/>
      <c r="X12" s="16"/>
    </row>
    <row r="13" spans="1:24" x14ac:dyDescent="0.25">
      <c r="A13" s="16"/>
      <c r="B13" s="16"/>
      <c r="C13" s="16"/>
      <c r="D13" s="16"/>
      <c r="E13" s="16"/>
      <c r="F13" s="16"/>
      <c r="G13" s="16"/>
      <c r="H13" s="16"/>
      <c r="I13" s="16"/>
      <c r="J13" s="16"/>
      <c r="K13" s="16"/>
      <c r="L13" s="16"/>
      <c r="M13" s="16"/>
      <c r="N13" s="16"/>
      <c r="O13" s="16"/>
      <c r="P13" s="16"/>
      <c r="Q13" s="16"/>
      <c r="R13" s="16"/>
      <c r="S13" s="16"/>
      <c r="T13" s="16"/>
      <c r="U13" s="16"/>
      <c r="V13" s="16"/>
      <c r="W13" s="16"/>
      <c r="X13" s="16"/>
    </row>
    <row r="14" spans="1:24" x14ac:dyDescent="0.25">
      <c r="A14" s="16"/>
      <c r="B14" s="16"/>
      <c r="C14" s="16"/>
      <c r="D14" s="16"/>
      <c r="E14" s="16"/>
      <c r="F14" s="16"/>
      <c r="G14" s="16"/>
      <c r="H14" s="16"/>
      <c r="I14" s="16"/>
      <c r="J14" s="16"/>
      <c r="K14" s="16"/>
      <c r="L14" s="16"/>
      <c r="M14" s="16"/>
      <c r="N14" s="16"/>
      <c r="O14" s="16"/>
      <c r="P14" s="16"/>
      <c r="Q14" s="16"/>
      <c r="R14" s="16"/>
      <c r="S14" s="16"/>
      <c r="T14" s="16"/>
      <c r="U14" s="16"/>
      <c r="V14" s="16"/>
      <c r="W14" s="16"/>
      <c r="X14" s="16"/>
    </row>
    <row r="15" spans="1:24" x14ac:dyDescent="0.25">
      <c r="A15" s="16"/>
      <c r="B15" s="16"/>
      <c r="C15" s="16"/>
      <c r="D15" s="16"/>
      <c r="E15" s="16"/>
      <c r="F15" s="16"/>
      <c r="G15" s="16"/>
      <c r="H15" s="16"/>
      <c r="I15" s="16"/>
      <c r="J15" s="16"/>
      <c r="K15" s="16"/>
      <c r="L15" s="16"/>
      <c r="M15" s="16"/>
      <c r="N15" s="16"/>
      <c r="O15" s="16"/>
      <c r="P15" s="16"/>
      <c r="Q15" s="16"/>
      <c r="R15" s="16"/>
      <c r="S15" s="16"/>
      <c r="T15" s="16"/>
      <c r="U15" s="16"/>
      <c r="V15" s="16"/>
      <c r="W15" s="16"/>
      <c r="X15" s="16"/>
    </row>
    <row r="16" spans="1:24" x14ac:dyDescent="0.25">
      <c r="A16" s="16"/>
      <c r="B16" s="16"/>
      <c r="C16" s="16"/>
      <c r="D16" s="16"/>
      <c r="E16" s="16"/>
      <c r="F16" s="16"/>
      <c r="G16" s="16"/>
      <c r="H16" s="16"/>
      <c r="I16" s="16"/>
      <c r="J16" s="16"/>
      <c r="K16" s="16"/>
      <c r="L16" s="16"/>
      <c r="M16" s="16"/>
      <c r="N16" s="16"/>
      <c r="O16" s="16"/>
      <c r="P16" s="16"/>
      <c r="Q16" s="16"/>
      <c r="R16" s="16"/>
      <c r="S16" s="16"/>
      <c r="T16" s="16"/>
      <c r="U16" s="16"/>
      <c r="V16" s="16"/>
      <c r="W16" s="16"/>
      <c r="X16" s="16"/>
    </row>
    <row r="17" spans="1:24" x14ac:dyDescent="0.25">
      <c r="A17" s="16"/>
      <c r="B17" s="16"/>
      <c r="C17" s="16"/>
      <c r="D17" s="16"/>
      <c r="E17" s="16"/>
      <c r="F17" s="16"/>
      <c r="G17" s="16"/>
      <c r="H17" s="16"/>
      <c r="I17" s="16"/>
      <c r="J17" s="16"/>
      <c r="K17" s="16"/>
      <c r="L17" s="16"/>
      <c r="M17" s="16"/>
      <c r="N17" s="16"/>
      <c r="O17" s="16"/>
      <c r="P17" s="16"/>
      <c r="Q17" s="16"/>
      <c r="R17" s="16"/>
      <c r="S17" s="16"/>
      <c r="T17" s="16"/>
      <c r="U17" s="16"/>
      <c r="V17" s="16"/>
      <c r="W17" s="16"/>
      <c r="X17" s="16"/>
    </row>
    <row r="18" spans="1:24" x14ac:dyDescent="0.25">
      <c r="A18" s="16"/>
      <c r="B18" s="16"/>
      <c r="C18" s="16"/>
      <c r="D18" s="16"/>
      <c r="E18" s="16"/>
      <c r="F18" s="16"/>
      <c r="G18" s="16"/>
      <c r="H18" s="16"/>
      <c r="I18" s="16"/>
      <c r="J18" s="16"/>
      <c r="K18" s="16"/>
      <c r="L18" s="16"/>
      <c r="M18" s="16"/>
      <c r="N18" s="16"/>
      <c r="O18" s="16"/>
      <c r="P18" s="16"/>
      <c r="Q18" s="16"/>
      <c r="R18" s="16"/>
      <c r="S18" s="16"/>
      <c r="T18" s="16"/>
      <c r="U18" s="16"/>
      <c r="V18" s="16"/>
      <c r="W18" s="16"/>
      <c r="X18" s="16"/>
    </row>
    <row r="19" spans="1:24" x14ac:dyDescent="0.25">
      <c r="A19" s="16"/>
      <c r="B19" s="16"/>
      <c r="C19" s="16"/>
      <c r="D19" s="16"/>
      <c r="E19" s="16"/>
      <c r="F19" s="16"/>
      <c r="G19" s="16"/>
      <c r="H19" s="16"/>
      <c r="I19" s="16"/>
      <c r="J19" s="16"/>
      <c r="K19" s="16"/>
      <c r="L19" s="16"/>
      <c r="M19" s="16"/>
      <c r="N19" s="16"/>
      <c r="O19" s="16"/>
      <c r="P19" s="16"/>
      <c r="Q19" s="16"/>
      <c r="R19" s="16"/>
      <c r="S19" s="16"/>
      <c r="T19" s="16"/>
      <c r="U19" s="16"/>
      <c r="V19" s="16"/>
      <c r="W19" s="16"/>
      <c r="X19" s="16"/>
    </row>
    <row r="20" spans="1:24" x14ac:dyDescent="0.25">
      <c r="A20" s="16"/>
      <c r="B20" s="16"/>
      <c r="C20" s="16"/>
      <c r="D20" s="16"/>
      <c r="E20" s="16"/>
      <c r="F20" s="16"/>
      <c r="G20" s="16"/>
      <c r="H20" s="16"/>
      <c r="I20" s="16"/>
      <c r="J20" s="16"/>
      <c r="K20" s="16"/>
      <c r="L20" s="16"/>
      <c r="M20" s="16"/>
      <c r="N20" s="16"/>
      <c r="O20" s="16"/>
      <c r="P20" s="16"/>
      <c r="Q20" s="16"/>
      <c r="R20" s="16"/>
      <c r="S20" s="16"/>
      <c r="T20" s="16"/>
      <c r="U20" s="16"/>
      <c r="V20" s="16"/>
      <c r="W20" s="16"/>
      <c r="X20" s="16"/>
    </row>
    <row r="21" spans="1:24" x14ac:dyDescent="0.25">
      <c r="A21" s="16"/>
      <c r="B21" s="16"/>
      <c r="C21" s="16"/>
      <c r="D21" s="16"/>
      <c r="E21" s="16"/>
      <c r="F21" s="16"/>
      <c r="G21" s="16"/>
      <c r="H21" s="16"/>
      <c r="I21" s="16"/>
      <c r="J21" s="16"/>
      <c r="K21" s="16"/>
      <c r="L21" s="16"/>
      <c r="M21" s="16"/>
      <c r="N21" s="16"/>
      <c r="O21" s="16"/>
      <c r="P21" s="16"/>
      <c r="Q21" s="16"/>
      <c r="R21" s="16"/>
      <c r="S21" s="16"/>
      <c r="T21" s="16"/>
      <c r="U21" s="16"/>
      <c r="V21" s="16"/>
      <c r="W21" s="16"/>
      <c r="X21" s="16"/>
    </row>
    <row r="22" spans="1:24" x14ac:dyDescent="0.25">
      <c r="A22" s="16"/>
      <c r="B22" s="16"/>
      <c r="C22" s="16"/>
      <c r="D22" s="16"/>
      <c r="E22" s="16"/>
      <c r="F22" s="16"/>
      <c r="G22" s="16"/>
      <c r="H22" s="16"/>
      <c r="I22" s="16"/>
      <c r="J22" s="16"/>
      <c r="K22" s="16"/>
      <c r="L22" s="16"/>
      <c r="M22" s="16"/>
      <c r="N22" s="16"/>
      <c r="O22" s="16"/>
      <c r="P22" s="16"/>
      <c r="Q22" s="16"/>
      <c r="R22" s="16"/>
      <c r="S22" s="16"/>
      <c r="T22" s="16"/>
      <c r="U22" s="16"/>
      <c r="V22" s="16"/>
      <c r="W22" s="16"/>
      <c r="X22" s="16"/>
    </row>
    <row r="23" spans="1:24"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row>
    <row r="24" spans="1:24" x14ac:dyDescent="0.25">
      <c r="A24" s="16"/>
      <c r="B24" s="16"/>
      <c r="C24" s="16"/>
      <c r="D24" s="16"/>
      <c r="E24" s="16"/>
      <c r="F24" s="16"/>
      <c r="G24" s="16"/>
      <c r="H24" s="16"/>
      <c r="I24" s="16"/>
      <c r="J24" s="16"/>
      <c r="K24" s="16"/>
      <c r="L24" s="16"/>
      <c r="M24" s="16"/>
      <c r="N24" s="16"/>
      <c r="O24" s="16"/>
      <c r="P24" s="16"/>
      <c r="Q24" s="16"/>
      <c r="R24" s="16"/>
      <c r="S24" s="16"/>
      <c r="T24" s="16"/>
      <c r="U24" s="16"/>
      <c r="V24" s="16"/>
      <c r="W24" s="16"/>
      <c r="X24" s="16"/>
    </row>
    <row r="25" spans="1:24" x14ac:dyDescent="0.25">
      <c r="A25" s="16"/>
      <c r="B25" s="16"/>
      <c r="C25" s="16"/>
      <c r="D25" s="16"/>
      <c r="E25" s="16"/>
      <c r="F25" s="16"/>
      <c r="G25" s="16"/>
      <c r="H25" s="16"/>
      <c r="I25" s="16"/>
      <c r="J25" s="16"/>
      <c r="K25" s="16"/>
      <c r="L25" s="16"/>
      <c r="M25" s="16"/>
      <c r="N25" s="16"/>
      <c r="O25" s="16"/>
      <c r="P25" s="16"/>
      <c r="Q25" s="16"/>
      <c r="R25" s="16"/>
      <c r="S25" s="16"/>
      <c r="T25" s="16"/>
      <c r="U25" s="16"/>
      <c r="V25" s="16"/>
      <c r="W25" s="16"/>
      <c r="X25" s="16"/>
    </row>
    <row r="26" spans="1:24" x14ac:dyDescent="0.25">
      <c r="A26" s="16"/>
      <c r="B26" s="16"/>
      <c r="C26" s="16"/>
      <c r="D26" s="16"/>
      <c r="E26" s="16"/>
      <c r="F26" s="16"/>
      <c r="G26" s="16"/>
      <c r="H26" s="16"/>
      <c r="I26" s="16"/>
      <c r="J26" s="16"/>
      <c r="K26" s="16"/>
      <c r="L26" s="16"/>
      <c r="M26" s="16"/>
      <c r="N26" s="16"/>
      <c r="O26" s="16"/>
      <c r="P26" s="16"/>
      <c r="Q26" s="16"/>
      <c r="R26" s="16"/>
      <c r="S26" s="16"/>
      <c r="T26" s="16"/>
      <c r="U26" s="16"/>
      <c r="V26" s="16"/>
      <c r="W26" s="16"/>
      <c r="X26" s="16"/>
    </row>
    <row r="27" spans="1:24" x14ac:dyDescent="0.25">
      <c r="A27" s="16"/>
      <c r="B27" s="16"/>
      <c r="C27" s="16"/>
      <c r="D27" s="16"/>
      <c r="E27" s="16"/>
      <c r="F27" s="16"/>
      <c r="G27" s="16"/>
      <c r="H27" s="16"/>
      <c r="I27" s="16"/>
      <c r="J27" s="16"/>
      <c r="K27" s="16"/>
      <c r="L27" s="16"/>
      <c r="M27" s="16"/>
      <c r="N27" s="16"/>
      <c r="O27" s="16"/>
      <c r="P27" s="16"/>
      <c r="Q27" s="16"/>
      <c r="R27" s="16"/>
      <c r="S27" s="16"/>
      <c r="T27" s="16"/>
      <c r="U27" s="16"/>
      <c r="V27" s="16"/>
      <c r="W27" s="16"/>
      <c r="X27" s="16"/>
    </row>
    <row r="28" spans="1:24" x14ac:dyDescent="0.25">
      <c r="A28" s="16"/>
      <c r="B28" s="16"/>
      <c r="C28" s="16"/>
      <c r="D28" s="16"/>
      <c r="E28" s="16"/>
      <c r="F28" s="16"/>
      <c r="G28" s="16"/>
      <c r="H28" s="16"/>
      <c r="I28" s="16"/>
      <c r="J28" s="16"/>
      <c r="K28" s="16"/>
      <c r="L28" s="16"/>
      <c r="M28" s="16"/>
      <c r="N28" s="16"/>
      <c r="O28" s="16"/>
      <c r="P28" s="16"/>
      <c r="Q28" s="16"/>
      <c r="R28" s="16"/>
      <c r="S28" s="16"/>
      <c r="T28" s="16"/>
      <c r="U28" s="16"/>
      <c r="V28" s="16"/>
      <c r="W28" s="16"/>
      <c r="X28" s="16"/>
    </row>
    <row r="29" spans="1:24" x14ac:dyDescent="0.25">
      <c r="A29" s="16"/>
      <c r="B29" s="16"/>
      <c r="C29" s="16"/>
      <c r="D29" s="16"/>
      <c r="E29" s="16"/>
      <c r="F29" s="16"/>
      <c r="G29" s="16"/>
      <c r="H29" s="16"/>
      <c r="I29" s="16"/>
      <c r="J29" s="16"/>
      <c r="K29" s="16"/>
      <c r="L29" s="16"/>
      <c r="M29" s="16"/>
      <c r="N29" s="16"/>
      <c r="O29" s="16"/>
      <c r="P29" s="16"/>
      <c r="Q29" s="16"/>
      <c r="R29" s="16"/>
      <c r="S29" s="16"/>
      <c r="T29" s="16"/>
      <c r="U29" s="16"/>
      <c r="V29" s="16"/>
      <c r="W29" s="16"/>
      <c r="X29" s="16"/>
    </row>
    <row r="30" spans="1:24" x14ac:dyDescent="0.25">
      <c r="A30" s="16"/>
      <c r="B30" s="16"/>
      <c r="C30" s="16"/>
      <c r="D30" s="16"/>
      <c r="E30" s="16"/>
      <c r="F30" s="16"/>
      <c r="G30" s="16"/>
      <c r="H30" s="16"/>
      <c r="I30" s="16"/>
      <c r="J30" s="16"/>
      <c r="K30" s="16"/>
      <c r="L30" s="16"/>
      <c r="M30" s="16"/>
      <c r="N30" s="16"/>
      <c r="O30" s="16"/>
      <c r="P30" s="16"/>
      <c r="Q30" s="16"/>
      <c r="R30" s="16"/>
      <c r="S30" s="16"/>
      <c r="T30" s="16"/>
      <c r="U30" s="16"/>
      <c r="V30" s="16"/>
      <c r="W30" s="16"/>
      <c r="X30" s="16"/>
    </row>
    <row r="31" spans="1:24" x14ac:dyDescent="0.25">
      <c r="A31" s="16"/>
      <c r="B31" s="16"/>
      <c r="C31" s="16"/>
      <c r="D31" s="16"/>
      <c r="E31" s="16"/>
      <c r="F31" s="16"/>
      <c r="G31" s="16"/>
      <c r="H31" s="16"/>
      <c r="I31" s="16"/>
      <c r="J31" s="16"/>
      <c r="K31" s="16"/>
      <c r="L31" s="16"/>
      <c r="M31" s="16"/>
      <c r="N31" s="16"/>
      <c r="O31" s="16"/>
      <c r="P31" s="16"/>
      <c r="Q31" s="16"/>
      <c r="R31" s="16"/>
      <c r="S31" s="16"/>
      <c r="T31" s="16"/>
      <c r="U31" s="16"/>
      <c r="V31" s="16"/>
      <c r="W31" s="16"/>
      <c r="X31" s="16"/>
    </row>
    <row r="32" spans="1:24" x14ac:dyDescent="0.25">
      <c r="A32" s="16"/>
      <c r="B32" s="16"/>
      <c r="C32" s="16"/>
      <c r="D32" s="16"/>
      <c r="E32" s="16"/>
      <c r="F32" s="16"/>
      <c r="G32" s="16"/>
      <c r="H32" s="16"/>
      <c r="I32" s="16"/>
      <c r="J32" s="16"/>
      <c r="K32" s="16"/>
      <c r="L32" s="16"/>
      <c r="M32" s="16"/>
      <c r="N32" s="16"/>
      <c r="O32" s="16"/>
      <c r="P32" s="16"/>
      <c r="Q32" s="16"/>
      <c r="R32" s="16"/>
      <c r="S32" s="16"/>
      <c r="T32" s="16"/>
      <c r="U32" s="16"/>
      <c r="V32" s="16"/>
      <c r="W32" s="16"/>
      <c r="X32" s="16"/>
    </row>
    <row r="33" spans="1:24" x14ac:dyDescent="0.25">
      <c r="A33" s="16"/>
      <c r="B33" s="16"/>
      <c r="C33" s="16"/>
      <c r="D33" s="16"/>
      <c r="E33" s="16"/>
      <c r="F33" s="16"/>
      <c r="G33" s="16"/>
      <c r="H33" s="16"/>
      <c r="I33" s="16"/>
      <c r="J33" s="16"/>
      <c r="K33" s="16"/>
      <c r="L33" s="16"/>
      <c r="M33" s="16"/>
      <c r="N33" s="16"/>
      <c r="O33" s="16"/>
      <c r="P33" s="16"/>
      <c r="Q33" s="16"/>
      <c r="R33" s="16"/>
      <c r="S33" s="16"/>
      <c r="T33" s="16"/>
      <c r="U33" s="16"/>
      <c r="V33" s="16"/>
      <c r="W33" s="16"/>
      <c r="X33" s="16"/>
    </row>
    <row r="34" spans="1:24" x14ac:dyDescent="0.25">
      <c r="A34" s="16"/>
      <c r="B34" s="16"/>
      <c r="C34" s="16"/>
      <c r="D34" s="16"/>
      <c r="E34" s="16"/>
      <c r="F34" s="16"/>
      <c r="G34" s="16"/>
      <c r="H34" s="16"/>
      <c r="I34" s="16"/>
      <c r="J34" s="16"/>
      <c r="K34" s="16"/>
      <c r="L34" s="16"/>
      <c r="M34" s="16"/>
      <c r="N34" s="16"/>
      <c r="O34" s="16"/>
      <c r="P34" s="16"/>
      <c r="Q34" s="16"/>
      <c r="R34" s="16"/>
      <c r="S34" s="16"/>
      <c r="T34" s="16"/>
      <c r="U34" s="16"/>
      <c r="V34" s="16"/>
      <c r="W34" s="16"/>
      <c r="X34" s="16"/>
    </row>
    <row r="35" spans="1:24" x14ac:dyDescent="0.25">
      <c r="A35" s="16"/>
      <c r="B35" s="16"/>
      <c r="C35" s="16"/>
      <c r="D35" s="16"/>
      <c r="E35" s="16"/>
      <c r="F35" s="16"/>
      <c r="G35" s="16"/>
      <c r="H35" s="16"/>
      <c r="I35" s="16"/>
      <c r="J35" s="16"/>
      <c r="K35" s="16"/>
      <c r="L35" s="16"/>
      <c r="M35" s="16"/>
      <c r="N35" s="16"/>
      <c r="O35" s="16"/>
      <c r="P35" s="16"/>
      <c r="Q35" s="16"/>
      <c r="R35" s="16"/>
      <c r="S35" s="16"/>
      <c r="T35" s="16"/>
      <c r="U35" s="16"/>
      <c r="V35" s="16"/>
      <c r="W35" s="16"/>
      <c r="X35" s="16"/>
    </row>
    <row r="36" spans="1:24" x14ac:dyDescent="0.25">
      <c r="A36" s="16"/>
      <c r="B36" s="16"/>
      <c r="C36" s="16"/>
      <c r="D36" s="16"/>
      <c r="E36" s="16"/>
      <c r="F36" s="16"/>
      <c r="G36" s="16"/>
      <c r="H36" s="16"/>
      <c r="I36" s="16"/>
      <c r="J36" s="16"/>
      <c r="K36" s="16"/>
      <c r="L36" s="16"/>
      <c r="M36" s="16"/>
      <c r="N36" s="16"/>
      <c r="O36" s="16"/>
      <c r="P36" s="16"/>
      <c r="Q36" s="16"/>
      <c r="R36" s="16"/>
      <c r="S36" s="16"/>
      <c r="T36" s="16"/>
      <c r="U36" s="16"/>
      <c r="V36" s="16"/>
      <c r="W36" s="16"/>
      <c r="X36" s="16"/>
    </row>
    <row r="37" spans="1:24" x14ac:dyDescent="0.25">
      <c r="A37" s="16"/>
      <c r="B37" s="16"/>
      <c r="C37" s="16"/>
      <c r="D37" s="16"/>
      <c r="E37" s="16"/>
      <c r="F37" s="16"/>
      <c r="G37" s="16"/>
      <c r="H37" s="16"/>
      <c r="I37" s="16"/>
      <c r="J37" s="16"/>
      <c r="K37" s="16"/>
      <c r="L37" s="16"/>
      <c r="M37" s="16"/>
      <c r="N37" s="16"/>
      <c r="O37" s="16"/>
      <c r="P37" s="16"/>
      <c r="Q37" s="16"/>
      <c r="R37" s="16"/>
      <c r="S37" s="16"/>
      <c r="T37" s="16"/>
      <c r="U37" s="16"/>
      <c r="V37" s="16"/>
      <c r="W37" s="16"/>
      <c r="X37" s="16"/>
    </row>
    <row r="38" spans="1:24" x14ac:dyDescent="0.25">
      <c r="A38" s="16"/>
      <c r="B38" s="16"/>
      <c r="C38" s="16"/>
      <c r="D38" s="16"/>
      <c r="E38" s="16"/>
      <c r="F38" s="16"/>
      <c r="G38" s="16"/>
      <c r="H38" s="16"/>
      <c r="I38" s="16"/>
      <c r="J38" s="16"/>
      <c r="K38" s="16"/>
      <c r="L38" s="16"/>
      <c r="M38" s="16"/>
      <c r="N38" s="16"/>
      <c r="O38" s="16"/>
      <c r="P38" s="16"/>
      <c r="Q38" s="16"/>
      <c r="R38" s="16"/>
      <c r="S38" s="16"/>
      <c r="T38" s="16"/>
      <c r="U38" s="16"/>
      <c r="V38" s="16"/>
      <c r="W38" s="16"/>
      <c r="X38" s="16"/>
    </row>
    <row r="39" spans="1:24" x14ac:dyDescent="0.25">
      <c r="A39" s="16"/>
      <c r="B39" s="16"/>
      <c r="C39" s="16"/>
      <c r="D39" s="16"/>
      <c r="E39" s="16"/>
      <c r="F39" s="16"/>
      <c r="G39" s="16"/>
      <c r="H39" s="16"/>
      <c r="I39" s="16"/>
      <c r="J39" s="16"/>
      <c r="K39" s="16"/>
      <c r="L39" s="16"/>
      <c r="M39" s="16"/>
      <c r="N39" s="16"/>
      <c r="O39" s="16"/>
      <c r="P39" s="16"/>
      <c r="Q39" s="16"/>
      <c r="R39" s="16"/>
      <c r="S39" s="16"/>
      <c r="T39" s="16"/>
      <c r="U39" s="16"/>
      <c r="V39" s="16"/>
      <c r="W39" s="16"/>
      <c r="X39" s="16"/>
    </row>
    <row r="40" spans="1:24" x14ac:dyDescent="0.25">
      <c r="A40" s="16"/>
      <c r="B40" s="16"/>
      <c r="C40" s="16"/>
      <c r="D40" s="16"/>
      <c r="E40" s="16"/>
      <c r="F40" s="16"/>
      <c r="G40" s="16"/>
      <c r="H40" s="16"/>
      <c r="I40" s="16"/>
      <c r="J40" s="16"/>
      <c r="K40" s="16"/>
      <c r="L40" s="16"/>
      <c r="M40" s="16"/>
      <c r="N40" s="16"/>
      <c r="O40" s="16"/>
      <c r="P40" s="16"/>
      <c r="Q40" s="16"/>
      <c r="R40" s="16"/>
      <c r="S40" s="16"/>
      <c r="T40" s="16"/>
      <c r="U40" s="16"/>
      <c r="V40" s="16"/>
      <c r="W40" s="16"/>
      <c r="X40" s="16"/>
    </row>
    <row r="41" spans="1:24" x14ac:dyDescent="0.25">
      <c r="A41" s="16"/>
      <c r="B41" s="16"/>
      <c r="C41" s="16"/>
      <c r="D41" s="16"/>
      <c r="E41" s="16"/>
      <c r="F41" s="16"/>
      <c r="G41" s="16"/>
      <c r="H41" s="16"/>
      <c r="I41" s="16"/>
      <c r="J41" s="16"/>
      <c r="K41" s="16"/>
      <c r="L41" s="16"/>
      <c r="M41" s="16"/>
      <c r="N41" s="16"/>
      <c r="O41" s="16"/>
      <c r="P41" s="16"/>
      <c r="Q41" s="16"/>
      <c r="R41" s="16"/>
      <c r="S41" s="16"/>
      <c r="T41" s="16"/>
      <c r="U41" s="16"/>
      <c r="V41" s="16"/>
      <c r="W41" s="16"/>
      <c r="X41" s="16"/>
    </row>
    <row r="42" spans="1:24" x14ac:dyDescent="0.25">
      <c r="A42" s="16"/>
      <c r="B42" s="16"/>
      <c r="C42" s="16"/>
      <c r="D42" s="16"/>
      <c r="E42" s="16"/>
      <c r="F42" s="16"/>
      <c r="G42" s="16"/>
      <c r="H42" s="16"/>
      <c r="I42" s="16"/>
      <c r="J42" s="16"/>
      <c r="K42" s="16"/>
      <c r="L42" s="16"/>
      <c r="M42" s="16"/>
      <c r="N42" s="16"/>
      <c r="O42" s="16"/>
      <c r="P42" s="16"/>
      <c r="Q42" s="16"/>
      <c r="R42" s="16"/>
      <c r="S42" s="16"/>
      <c r="T42" s="16"/>
      <c r="U42" s="16"/>
      <c r="V42" s="16"/>
      <c r="W42" s="16"/>
      <c r="X42" s="16"/>
    </row>
    <row r="43" spans="1:24" x14ac:dyDescent="0.25">
      <c r="A43" s="16"/>
      <c r="B43" s="16"/>
      <c r="C43" s="16"/>
      <c r="D43" s="16"/>
      <c r="E43" s="16"/>
      <c r="F43" s="16"/>
      <c r="G43" s="16"/>
      <c r="H43" s="16"/>
      <c r="I43" s="16"/>
      <c r="J43" s="16"/>
      <c r="K43" s="16"/>
      <c r="L43" s="16"/>
      <c r="M43" s="16"/>
      <c r="N43" s="16"/>
      <c r="O43" s="16"/>
      <c r="P43" s="16"/>
      <c r="Q43" s="16"/>
      <c r="R43" s="16"/>
      <c r="S43" s="16"/>
      <c r="T43" s="16"/>
      <c r="U43" s="16"/>
      <c r="V43" s="16"/>
      <c r="W43" s="16"/>
      <c r="X43" s="16"/>
    </row>
    <row r="44" spans="1:24" x14ac:dyDescent="0.25">
      <c r="A44" s="16"/>
      <c r="B44" s="16"/>
      <c r="C44" s="16"/>
      <c r="D44" s="16"/>
      <c r="E44" s="16"/>
      <c r="F44" s="16"/>
      <c r="G44" s="16"/>
      <c r="H44" s="16"/>
      <c r="I44" s="16"/>
      <c r="J44" s="16"/>
      <c r="K44" s="16"/>
      <c r="L44" s="16"/>
      <c r="M44" s="16"/>
      <c r="N44" s="16"/>
      <c r="O44" s="16"/>
      <c r="P44" s="16"/>
      <c r="Q44" s="16"/>
      <c r="R44" s="16"/>
      <c r="S44" s="16"/>
      <c r="T44" s="16"/>
      <c r="U44" s="16"/>
      <c r="V44" s="16"/>
      <c r="W44" s="16"/>
      <c r="X44" s="16"/>
    </row>
    <row r="45" spans="1:24" x14ac:dyDescent="0.25">
      <c r="A45" s="16"/>
      <c r="B45" s="16"/>
      <c r="C45" s="16"/>
      <c r="D45" s="16"/>
      <c r="E45" s="16"/>
      <c r="F45" s="16"/>
      <c r="G45" s="16"/>
      <c r="H45" s="16"/>
      <c r="I45" s="16"/>
      <c r="J45" s="16"/>
      <c r="K45" s="16"/>
      <c r="L45" s="16"/>
      <c r="M45" s="16"/>
      <c r="N45" s="16"/>
      <c r="O45" s="16"/>
      <c r="P45" s="16"/>
      <c r="Q45" s="16"/>
      <c r="R45" s="16"/>
      <c r="S45" s="16"/>
      <c r="T45" s="16"/>
      <c r="U45" s="16"/>
      <c r="V45" s="16"/>
      <c r="W45" s="16"/>
      <c r="X45" s="16"/>
    </row>
    <row r="46" spans="1:24" x14ac:dyDescent="0.25">
      <c r="A46" s="16"/>
      <c r="B46" s="16"/>
      <c r="C46" s="16"/>
      <c r="D46" s="16"/>
      <c r="E46" s="16"/>
      <c r="F46" s="16"/>
      <c r="G46" s="16"/>
      <c r="H46" s="16"/>
      <c r="I46" s="16"/>
      <c r="J46" s="16"/>
      <c r="K46" s="16"/>
      <c r="L46" s="16"/>
      <c r="M46" s="16"/>
      <c r="N46" s="16"/>
      <c r="O46" s="16"/>
      <c r="P46" s="16"/>
      <c r="Q46" s="16"/>
      <c r="R46" s="16"/>
      <c r="S46" s="16"/>
      <c r="T46" s="16"/>
      <c r="U46" s="16"/>
      <c r="V46" s="16"/>
      <c r="W46" s="16"/>
      <c r="X46" s="16"/>
    </row>
    <row r="47" spans="1:24" x14ac:dyDescent="0.25">
      <c r="A47" s="16"/>
      <c r="B47" s="16"/>
      <c r="C47" s="16"/>
      <c r="D47" s="16"/>
      <c r="E47" s="16"/>
      <c r="F47" s="16"/>
      <c r="G47" s="16"/>
      <c r="H47" s="16"/>
      <c r="I47" s="16"/>
      <c r="J47" s="16"/>
      <c r="K47" s="16"/>
      <c r="L47" s="16"/>
      <c r="M47" s="16"/>
      <c r="N47" s="16"/>
      <c r="O47" s="16"/>
      <c r="P47" s="16"/>
      <c r="Q47" s="16"/>
      <c r="R47" s="16"/>
      <c r="S47" s="16"/>
      <c r="T47" s="16"/>
      <c r="U47" s="16"/>
      <c r="V47" s="16"/>
      <c r="W47" s="16"/>
      <c r="X47" s="16"/>
    </row>
    <row r="48" spans="1:24" x14ac:dyDescent="0.25">
      <c r="A48" s="16"/>
      <c r="B48" s="16"/>
      <c r="C48" s="16"/>
      <c r="D48" s="16"/>
      <c r="E48" s="16"/>
      <c r="F48" s="16"/>
      <c r="G48" s="16"/>
      <c r="H48" s="16"/>
      <c r="I48" s="16"/>
      <c r="J48" s="16"/>
      <c r="K48" s="16"/>
      <c r="L48" s="16"/>
      <c r="M48" s="16"/>
      <c r="N48" s="16"/>
      <c r="O48" s="16"/>
      <c r="P48" s="16"/>
      <c r="Q48" s="16"/>
      <c r="R48" s="16"/>
      <c r="S48" s="16"/>
      <c r="T48" s="16"/>
      <c r="U48" s="16"/>
      <c r="V48" s="16"/>
      <c r="W48" s="16"/>
      <c r="X48" s="16"/>
    </row>
    <row r="49" spans="1:24" x14ac:dyDescent="0.25">
      <c r="A49" s="16"/>
      <c r="B49" s="16"/>
      <c r="C49" s="16"/>
      <c r="D49" s="16"/>
      <c r="E49" s="16"/>
      <c r="F49" s="16"/>
      <c r="G49" s="16"/>
      <c r="H49" s="16"/>
      <c r="I49" s="16"/>
      <c r="J49" s="16"/>
      <c r="K49" s="16"/>
      <c r="L49" s="16"/>
      <c r="M49" s="16"/>
      <c r="N49" s="16"/>
      <c r="O49" s="16"/>
      <c r="P49" s="16"/>
      <c r="Q49" s="16"/>
      <c r="R49" s="16"/>
      <c r="S49" s="16"/>
      <c r="T49" s="16"/>
      <c r="U49" s="16"/>
      <c r="V49" s="16"/>
      <c r="W49" s="16"/>
      <c r="X49" s="16"/>
    </row>
    <row r="50" spans="1:24" x14ac:dyDescent="0.25">
      <c r="A50" s="16"/>
      <c r="B50" s="16"/>
      <c r="C50" s="16"/>
      <c r="D50" s="16"/>
      <c r="E50" s="16"/>
      <c r="F50" s="16"/>
      <c r="G50" s="16"/>
      <c r="H50" s="16"/>
      <c r="I50" s="16"/>
      <c r="J50" s="16"/>
      <c r="K50" s="16"/>
      <c r="L50" s="16"/>
      <c r="M50" s="16"/>
      <c r="N50" s="16"/>
      <c r="O50" s="16"/>
      <c r="P50" s="16"/>
      <c r="Q50" s="16"/>
      <c r="R50" s="16"/>
      <c r="S50" s="16"/>
      <c r="T50" s="16"/>
      <c r="U50" s="16"/>
      <c r="V50" s="16"/>
      <c r="W50" s="16"/>
      <c r="X50" s="16"/>
    </row>
    <row r="51" spans="1:24" x14ac:dyDescent="0.25">
      <c r="A51" s="16"/>
      <c r="B51" s="16"/>
      <c r="C51" s="16"/>
      <c r="D51" s="16"/>
      <c r="E51" s="16"/>
      <c r="F51" s="16"/>
      <c r="G51" s="16"/>
      <c r="H51" s="16"/>
      <c r="I51" s="16"/>
      <c r="J51" s="16"/>
      <c r="K51" s="16"/>
      <c r="L51" s="16"/>
      <c r="M51" s="16"/>
      <c r="N51" s="16"/>
      <c r="O51" s="16"/>
      <c r="P51" s="16"/>
      <c r="Q51" s="16"/>
      <c r="R51" s="16"/>
      <c r="S51" s="16"/>
      <c r="T51" s="16"/>
      <c r="U51" s="16"/>
      <c r="V51" s="16"/>
      <c r="W51" s="16"/>
      <c r="X51" s="16"/>
    </row>
    <row r="52" spans="1:24" x14ac:dyDescent="0.25">
      <c r="A52" s="16"/>
      <c r="B52" s="16"/>
      <c r="C52" s="16"/>
      <c r="D52" s="16"/>
      <c r="E52" s="16"/>
      <c r="F52" s="16"/>
      <c r="G52" s="16"/>
      <c r="H52" s="16"/>
      <c r="I52" s="16"/>
      <c r="J52" s="16"/>
      <c r="K52" s="16"/>
      <c r="L52" s="16"/>
      <c r="M52" s="16"/>
      <c r="N52" s="16"/>
      <c r="O52" s="16"/>
      <c r="P52" s="16"/>
      <c r="Q52" s="16"/>
      <c r="R52" s="16"/>
      <c r="S52" s="16"/>
      <c r="T52" s="16"/>
      <c r="U52" s="16"/>
      <c r="V52" s="16"/>
      <c r="W52" s="16"/>
      <c r="X52" s="16"/>
    </row>
    <row r="53" spans="1:24" x14ac:dyDescent="0.25">
      <c r="A53" s="16"/>
      <c r="B53" s="16"/>
      <c r="C53" s="16"/>
      <c r="D53" s="16"/>
      <c r="E53" s="16"/>
      <c r="F53" s="16"/>
      <c r="G53" s="16"/>
      <c r="H53" s="16"/>
      <c r="I53" s="16"/>
      <c r="J53" s="16"/>
      <c r="K53" s="16"/>
      <c r="L53" s="16"/>
      <c r="M53" s="16"/>
      <c r="N53" s="16"/>
      <c r="O53" s="16"/>
      <c r="P53" s="16"/>
      <c r="Q53" s="16"/>
      <c r="R53" s="16"/>
      <c r="S53" s="16"/>
      <c r="T53" s="16"/>
      <c r="U53" s="16"/>
      <c r="V53" s="16"/>
      <c r="W53" s="16"/>
      <c r="X53" s="16"/>
    </row>
    <row r="54" spans="1:24" x14ac:dyDescent="0.25">
      <c r="A54" s="16"/>
      <c r="B54" s="16"/>
      <c r="C54" s="16"/>
      <c r="D54" s="16"/>
      <c r="E54" s="16"/>
      <c r="F54" s="16"/>
      <c r="G54" s="16"/>
      <c r="H54" s="16"/>
      <c r="I54" s="16"/>
      <c r="J54" s="16"/>
      <c r="K54" s="16"/>
      <c r="L54" s="16"/>
      <c r="M54" s="16"/>
      <c r="N54" s="16"/>
      <c r="O54" s="16"/>
      <c r="P54" s="16"/>
      <c r="Q54" s="16"/>
      <c r="R54" s="16"/>
      <c r="S54" s="16"/>
      <c r="T54" s="16"/>
      <c r="U54" s="16"/>
      <c r="V54" s="16"/>
      <c r="W54" s="16"/>
      <c r="X54" s="16"/>
    </row>
    <row r="55" spans="1:24" x14ac:dyDescent="0.25">
      <c r="A55" s="16"/>
      <c r="B55" s="16"/>
      <c r="C55" s="16"/>
      <c r="D55" s="16"/>
      <c r="E55" s="16"/>
      <c r="F55" s="16"/>
      <c r="G55" s="16"/>
      <c r="H55" s="16"/>
      <c r="I55" s="16"/>
      <c r="J55" s="16"/>
      <c r="K55" s="16"/>
      <c r="L55" s="16"/>
      <c r="M55" s="16"/>
      <c r="N55" s="16"/>
      <c r="O55" s="16"/>
      <c r="P55" s="16"/>
      <c r="Q55" s="16"/>
      <c r="R55" s="16"/>
      <c r="S55" s="16"/>
      <c r="T55" s="16"/>
      <c r="U55" s="16"/>
      <c r="V55" s="16"/>
      <c r="W55" s="16"/>
      <c r="X55" s="16"/>
    </row>
    <row r="56" spans="1:24"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row>
    <row r="57" spans="1:24" x14ac:dyDescent="0.25">
      <c r="A57" s="16"/>
      <c r="B57" s="16"/>
      <c r="C57" s="16"/>
      <c r="D57" s="16"/>
      <c r="E57" s="16"/>
      <c r="F57" s="16"/>
      <c r="G57" s="16"/>
      <c r="H57" s="16"/>
      <c r="I57" s="16"/>
      <c r="J57" s="16"/>
      <c r="K57" s="16"/>
      <c r="L57" s="16"/>
      <c r="M57" s="16"/>
      <c r="N57" s="16"/>
      <c r="O57" s="16"/>
      <c r="P57" s="16"/>
      <c r="Q57" s="16"/>
      <c r="R57" s="16"/>
      <c r="S57" s="16"/>
      <c r="T57" s="16"/>
      <c r="U57" s="16"/>
      <c r="V57" s="16"/>
      <c r="W57" s="16"/>
      <c r="X57" s="16"/>
    </row>
    <row r="58" spans="1:24" x14ac:dyDescent="0.25">
      <c r="A58" s="16"/>
      <c r="B58" s="16"/>
      <c r="C58" s="16"/>
      <c r="D58" s="16"/>
      <c r="E58" s="16"/>
      <c r="F58" s="16"/>
      <c r="G58" s="16"/>
      <c r="H58" s="16"/>
      <c r="I58" s="16"/>
      <c r="J58" s="16"/>
      <c r="K58" s="16"/>
      <c r="L58" s="16"/>
      <c r="M58" s="16"/>
      <c r="N58" s="16"/>
      <c r="O58" s="16"/>
      <c r="P58" s="16"/>
      <c r="Q58" s="16"/>
      <c r="R58" s="16"/>
      <c r="S58" s="16"/>
      <c r="T58" s="16"/>
      <c r="U58" s="16"/>
      <c r="V58" s="16"/>
      <c r="W58" s="16"/>
      <c r="X58" s="16"/>
    </row>
    <row r="59" spans="1:24" x14ac:dyDescent="0.25">
      <c r="A59" s="16"/>
      <c r="B59" s="16"/>
      <c r="C59" s="16"/>
      <c r="D59" s="16"/>
      <c r="E59" s="16"/>
      <c r="F59" s="16"/>
      <c r="G59" s="16"/>
      <c r="H59" s="16"/>
      <c r="I59" s="16"/>
      <c r="J59" s="16"/>
      <c r="K59" s="16"/>
      <c r="L59" s="16"/>
      <c r="M59" s="16"/>
      <c r="N59" s="16"/>
      <c r="O59" s="16"/>
      <c r="P59" s="16"/>
      <c r="Q59" s="16"/>
      <c r="R59" s="16"/>
      <c r="S59" s="16"/>
      <c r="T59" s="16"/>
      <c r="U59" s="16"/>
      <c r="V59" s="16"/>
      <c r="W59" s="16"/>
      <c r="X59" s="16"/>
    </row>
    <row r="60" spans="1:24" x14ac:dyDescent="0.25">
      <c r="A60" s="16"/>
      <c r="B60" s="16"/>
      <c r="C60" s="16"/>
      <c r="D60" s="16"/>
      <c r="E60" s="16"/>
      <c r="F60" s="16"/>
      <c r="G60" s="16"/>
      <c r="H60" s="16"/>
      <c r="I60" s="16"/>
      <c r="J60" s="16"/>
      <c r="K60" s="16"/>
      <c r="L60" s="16"/>
      <c r="M60" s="16"/>
      <c r="N60" s="16"/>
      <c r="O60" s="16"/>
      <c r="P60" s="16"/>
      <c r="Q60" s="16"/>
      <c r="R60" s="16"/>
      <c r="S60" s="16"/>
      <c r="T60" s="16"/>
      <c r="U60" s="16"/>
      <c r="V60" s="16"/>
      <c r="W60" s="16"/>
      <c r="X60" s="1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60"/>
  <sheetViews>
    <sheetView tabSelected="1" topLeftCell="A4" zoomScale="48" zoomScaleNormal="48" workbookViewId="0">
      <selection activeCell="AI25" sqref="AI25"/>
    </sheetView>
  </sheetViews>
  <sheetFormatPr defaultRowHeight="15" x14ac:dyDescent="0.25"/>
  <sheetData>
    <row r="1" spans="1:24" x14ac:dyDescent="0.25">
      <c r="A1" s="16"/>
      <c r="B1" s="16"/>
      <c r="C1" s="16"/>
      <c r="D1" s="16"/>
      <c r="E1" s="16"/>
      <c r="F1" s="16"/>
      <c r="G1" s="16"/>
      <c r="H1" s="16"/>
      <c r="I1" s="16"/>
      <c r="J1" s="16"/>
      <c r="K1" s="16"/>
      <c r="L1" s="16"/>
      <c r="M1" s="16"/>
      <c r="N1" s="16"/>
      <c r="O1" s="16"/>
      <c r="P1" s="16"/>
      <c r="Q1" s="16"/>
      <c r="R1" s="16"/>
      <c r="S1" s="16"/>
      <c r="T1" s="16"/>
      <c r="U1" s="16"/>
      <c r="V1" s="16"/>
      <c r="W1" s="16"/>
      <c r="X1" s="16"/>
    </row>
    <row r="2" spans="1:24" x14ac:dyDescent="0.25">
      <c r="A2" s="16"/>
      <c r="B2" s="16"/>
      <c r="C2" s="16"/>
      <c r="D2" s="16"/>
      <c r="E2" s="16"/>
      <c r="F2" s="16"/>
      <c r="G2" s="16"/>
      <c r="H2" s="16"/>
      <c r="I2" s="16"/>
      <c r="J2" s="16"/>
      <c r="K2" s="16"/>
      <c r="L2" s="16"/>
      <c r="M2" s="16"/>
      <c r="N2" s="16"/>
      <c r="O2" s="16"/>
      <c r="P2" s="16"/>
      <c r="Q2" s="16"/>
      <c r="R2" s="16"/>
      <c r="S2" s="16"/>
      <c r="T2" s="16"/>
      <c r="U2" s="16"/>
      <c r="V2" s="16"/>
      <c r="W2" s="16"/>
      <c r="X2" s="16"/>
    </row>
    <row r="3" spans="1:24" x14ac:dyDescent="0.25">
      <c r="A3" s="16"/>
      <c r="B3" s="16"/>
      <c r="C3" s="16"/>
      <c r="D3" s="16"/>
      <c r="E3" s="16"/>
      <c r="F3" s="16"/>
      <c r="G3" s="16"/>
      <c r="H3" s="16"/>
      <c r="I3" s="16"/>
      <c r="J3" s="16"/>
      <c r="K3" s="16"/>
      <c r="L3" s="16"/>
      <c r="M3" s="16"/>
      <c r="N3" s="16"/>
      <c r="O3" s="16"/>
      <c r="P3" s="16"/>
      <c r="Q3" s="16"/>
      <c r="R3" s="16"/>
      <c r="S3" s="16"/>
      <c r="T3" s="16"/>
      <c r="U3" s="16"/>
      <c r="V3" s="16"/>
      <c r="W3" s="16"/>
      <c r="X3" s="16"/>
    </row>
    <row r="4" spans="1:24" x14ac:dyDescent="0.25">
      <c r="A4" s="16"/>
      <c r="B4" s="16"/>
      <c r="C4" s="16"/>
      <c r="D4" s="16"/>
      <c r="E4" s="16"/>
      <c r="F4" s="16"/>
      <c r="G4" s="16"/>
      <c r="H4" s="16"/>
      <c r="I4" s="16"/>
      <c r="J4" s="16"/>
      <c r="K4" s="16"/>
      <c r="L4" s="16"/>
      <c r="M4" s="16"/>
      <c r="N4" s="16"/>
      <c r="O4" s="16"/>
      <c r="P4" s="16"/>
      <c r="Q4" s="16"/>
      <c r="R4" s="16"/>
      <c r="S4" s="16"/>
      <c r="T4" s="16"/>
      <c r="U4" s="16"/>
      <c r="V4" s="16"/>
      <c r="W4" s="16"/>
      <c r="X4" s="16"/>
    </row>
    <row r="5" spans="1:24" x14ac:dyDescent="0.25">
      <c r="A5" s="16"/>
      <c r="B5" s="16"/>
      <c r="C5" s="16"/>
      <c r="D5" s="16"/>
      <c r="E5" s="16"/>
      <c r="F5" s="16"/>
      <c r="G5" s="16"/>
      <c r="H5" s="16"/>
      <c r="I5" s="16"/>
      <c r="J5" s="16"/>
      <c r="K5" s="16"/>
      <c r="L5" s="16"/>
      <c r="M5" s="16"/>
      <c r="N5" s="16"/>
      <c r="O5" s="16"/>
      <c r="P5" s="16"/>
      <c r="Q5" s="16"/>
      <c r="R5" s="16"/>
      <c r="S5" s="16"/>
      <c r="T5" s="16"/>
      <c r="U5" s="16"/>
      <c r="V5" s="16"/>
      <c r="W5" s="16"/>
      <c r="X5" s="16"/>
    </row>
    <row r="6" spans="1:24" x14ac:dyDescent="0.25">
      <c r="A6" s="16"/>
      <c r="B6" s="16"/>
      <c r="C6" s="16"/>
      <c r="D6" s="16"/>
      <c r="E6" s="16"/>
      <c r="F6" s="16"/>
      <c r="G6" s="16"/>
      <c r="H6" s="16"/>
      <c r="I6" s="16"/>
      <c r="J6" s="16"/>
      <c r="K6" s="16"/>
      <c r="L6" s="16"/>
      <c r="M6" s="16"/>
      <c r="N6" s="16"/>
      <c r="O6" s="16"/>
      <c r="P6" s="16"/>
      <c r="Q6" s="16"/>
      <c r="R6" s="16"/>
      <c r="S6" s="16"/>
      <c r="T6" s="16"/>
      <c r="U6" s="16"/>
      <c r="V6" s="16"/>
      <c r="W6" s="16"/>
      <c r="X6" s="16"/>
    </row>
    <row r="7" spans="1:24" x14ac:dyDescent="0.25">
      <c r="A7" s="16"/>
      <c r="B7" s="16"/>
      <c r="C7" s="16"/>
      <c r="D7" s="16"/>
      <c r="E7" s="16"/>
      <c r="F7" s="16"/>
      <c r="G7" s="16"/>
      <c r="H7" s="16"/>
      <c r="I7" s="16"/>
      <c r="J7" s="16"/>
      <c r="K7" s="16"/>
      <c r="L7" s="16"/>
      <c r="M7" s="16"/>
      <c r="N7" s="16"/>
      <c r="O7" s="16"/>
      <c r="P7" s="16"/>
      <c r="Q7" s="16"/>
      <c r="R7" s="16"/>
      <c r="S7" s="16"/>
      <c r="T7" s="16"/>
      <c r="U7" s="16"/>
      <c r="V7" s="16"/>
      <c r="W7" s="16"/>
      <c r="X7" s="16"/>
    </row>
    <row r="8" spans="1:24" x14ac:dyDescent="0.25">
      <c r="A8" s="16"/>
      <c r="B8" s="16"/>
      <c r="C8" s="16"/>
      <c r="D8" s="16"/>
      <c r="E8" s="16"/>
      <c r="F8" s="16"/>
      <c r="G8" s="16"/>
      <c r="H8" s="16"/>
      <c r="I8" s="16"/>
      <c r="J8" s="16"/>
      <c r="K8" s="16"/>
      <c r="L8" s="16"/>
      <c r="M8" s="16"/>
      <c r="N8" s="16"/>
      <c r="O8" s="16"/>
      <c r="P8" s="16"/>
      <c r="Q8" s="16"/>
      <c r="R8" s="16"/>
      <c r="S8" s="16"/>
      <c r="T8" s="16"/>
      <c r="U8" s="16"/>
      <c r="V8" s="16"/>
      <c r="W8" s="16"/>
      <c r="X8" s="16"/>
    </row>
    <row r="9" spans="1:24" x14ac:dyDescent="0.25">
      <c r="A9" s="16"/>
      <c r="B9" s="16"/>
      <c r="C9" s="16"/>
      <c r="D9" s="16"/>
      <c r="E9" s="16"/>
      <c r="F9" s="16"/>
      <c r="G9" s="16"/>
      <c r="H9" s="16"/>
      <c r="I9" s="16"/>
      <c r="J9" s="16"/>
      <c r="K9" s="16"/>
      <c r="L9" s="16"/>
      <c r="M9" s="16"/>
      <c r="N9" s="16"/>
      <c r="O9" s="16"/>
      <c r="P9" s="16"/>
      <c r="Q9" s="16"/>
      <c r="R9" s="16"/>
      <c r="S9" s="16"/>
      <c r="T9" s="16"/>
      <c r="U9" s="16"/>
      <c r="V9" s="16"/>
      <c r="W9" s="16"/>
      <c r="X9" s="16"/>
    </row>
    <row r="10" spans="1:24" x14ac:dyDescent="0.25">
      <c r="A10" s="16"/>
      <c r="B10" s="16"/>
      <c r="C10" s="16"/>
      <c r="D10" s="16"/>
      <c r="E10" s="16"/>
      <c r="F10" s="16"/>
      <c r="G10" s="16"/>
      <c r="H10" s="16"/>
      <c r="I10" s="16"/>
      <c r="J10" s="16"/>
      <c r="K10" s="16"/>
      <c r="L10" s="16"/>
      <c r="M10" s="16"/>
      <c r="N10" s="16"/>
      <c r="O10" s="16"/>
      <c r="P10" s="16"/>
      <c r="Q10" s="16"/>
      <c r="R10" s="16"/>
      <c r="S10" s="16"/>
      <c r="T10" s="16"/>
      <c r="U10" s="16"/>
      <c r="V10" s="16"/>
      <c r="W10" s="16"/>
      <c r="X10" s="16"/>
    </row>
    <row r="11" spans="1:24" x14ac:dyDescent="0.25">
      <c r="A11" s="16"/>
      <c r="B11" s="16"/>
      <c r="C11" s="16"/>
      <c r="D11" s="16"/>
      <c r="E11" s="16"/>
      <c r="F11" s="16"/>
      <c r="G11" s="16"/>
      <c r="H11" s="16"/>
      <c r="I11" s="16"/>
      <c r="J11" s="16"/>
      <c r="K11" s="16"/>
      <c r="L11" s="16"/>
      <c r="M11" s="16"/>
      <c r="N11" s="16"/>
      <c r="O11" s="16"/>
      <c r="P11" s="16"/>
      <c r="Q11" s="16"/>
      <c r="R11" s="16"/>
      <c r="S11" s="16"/>
      <c r="T11" s="16"/>
      <c r="U11" s="16"/>
      <c r="V11" s="16"/>
      <c r="W11" s="16"/>
      <c r="X11" s="16"/>
    </row>
    <row r="12" spans="1:24" x14ac:dyDescent="0.25">
      <c r="A12" s="16"/>
      <c r="B12" s="16"/>
      <c r="C12" s="16"/>
      <c r="D12" s="16"/>
      <c r="E12" s="16"/>
      <c r="F12" s="16"/>
      <c r="G12" s="16"/>
      <c r="H12" s="16"/>
      <c r="I12" s="16"/>
      <c r="J12" s="16"/>
      <c r="K12" s="16"/>
      <c r="L12" s="16"/>
      <c r="M12" s="16"/>
      <c r="N12" s="16"/>
      <c r="O12" s="16"/>
      <c r="P12" s="16"/>
      <c r="Q12" s="16"/>
      <c r="R12" s="16"/>
      <c r="S12" s="16"/>
      <c r="T12" s="16"/>
      <c r="U12" s="16"/>
      <c r="V12" s="16"/>
      <c r="W12" s="16"/>
      <c r="X12" s="16"/>
    </row>
    <row r="13" spans="1:24" x14ac:dyDescent="0.25">
      <c r="A13" s="16"/>
      <c r="B13" s="16"/>
      <c r="C13" s="16"/>
      <c r="D13" s="16"/>
      <c r="E13" s="16"/>
      <c r="F13" s="16"/>
      <c r="G13" s="16"/>
      <c r="H13" s="16"/>
      <c r="I13" s="16"/>
      <c r="J13" s="16"/>
      <c r="K13" s="16"/>
      <c r="L13" s="16"/>
      <c r="M13" s="16"/>
      <c r="N13" s="16"/>
      <c r="O13" s="16"/>
      <c r="P13" s="16"/>
      <c r="Q13" s="16"/>
      <c r="R13" s="16"/>
      <c r="S13" s="16"/>
      <c r="T13" s="16"/>
      <c r="U13" s="16"/>
      <c r="V13" s="16"/>
      <c r="W13" s="16"/>
      <c r="X13" s="16"/>
    </row>
    <row r="14" spans="1:24" x14ac:dyDescent="0.25">
      <c r="A14" s="16"/>
      <c r="B14" s="16"/>
      <c r="C14" s="16"/>
      <c r="D14" s="16"/>
      <c r="E14" s="16"/>
      <c r="F14" s="16"/>
      <c r="G14" s="16"/>
      <c r="H14" s="16"/>
      <c r="I14" s="16"/>
      <c r="J14" s="16"/>
      <c r="K14" s="16"/>
      <c r="L14" s="16"/>
      <c r="M14" s="16"/>
      <c r="N14" s="16"/>
      <c r="O14" s="16"/>
      <c r="P14" s="16"/>
      <c r="Q14" s="16"/>
      <c r="R14" s="16"/>
      <c r="S14" s="16"/>
      <c r="T14" s="16"/>
      <c r="U14" s="16"/>
      <c r="V14" s="16"/>
      <c r="W14" s="16"/>
      <c r="X14" s="16"/>
    </row>
    <row r="15" spans="1:24" x14ac:dyDescent="0.25">
      <c r="A15" s="16"/>
      <c r="B15" s="16"/>
      <c r="C15" s="16"/>
      <c r="D15" s="16"/>
      <c r="E15" s="16"/>
      <c r="F15" s="16"/>
      <c r="G15" s="16"/>
      <c r="H15" s="16"/>
      <c r="I15" s="16"/>
      <c r="J15" s="16"/>
      <c r="K15" s="16"/>
      <c r="L15" s="16"/>
      <c r="M15" s="16"/>
      <c r="N15" s="16"/>
      <c r="O15" s="16"/>
      <c r="P15" s="16"/>
      <c r="Q15" s="16"/>
      <c r="R15" s="16"/>
      <c r="S15" s="16"/>
      <c r="T15" s="16"/>
      <c r="U15" s="16"/>
      <c r="V15" s="16"/>
      <c r="W15" s="16"/>
      <c r="X15" s="16"/>
    </row>
    <row r="16" spans="1:24" x14ac:dyDescent="0.25">
      <c r="A16" s="16"/>
      <c r="B16" s="16"/>
      <c r="C16" s="16"/>
      <c r="D16" s="16"/>
      <c r="E16" s="16"/>
      <c r="F16" s="16"/>
      <c r="G16" s="16"/>
      <c r="H16" s="16"/>
      <c r="I16" s="16"/>
      <c r="J16" s="16"/>
      <c r="K16" s="16"/>
      <c r="L16" s="16"/>
      <c r="M16" s="16"/>
      <c r="N16" s="16"/>
      <c r="O16" s="16"/>
      <c r="P16" s="16"/>
      <c r="Q16" s="16"/>
      <c r="R16" s="16"/>
      <c r="S16" s="16"/>
      <c r="T16" s="16"/>
      <c r="U16" s="16"/>
      <c r="V16" s="16"/>
      <c r="W16" s="16"/>
      <c r="X16" s="16"/>
    </row>
    <row r="17" spans="1:24" x14ac:dyDescent="0.25">
      <c r="A17" s="16"/>
      <c r="B17" s="16"/>
      <c r="C17" s="16"/>
      <c r="D17" s="16"/>
      <c r="E17" s="16"/>
      <c r="F17" s="16"/>
      <c r="G17" s="16"/>
      <c r="H17" s="16"/>
      <c r="I17" s="16"/>
      <c r="J17" s="16"/>
      <c r="K17" s="16"/>
      <c r="L17" s="16"/>
      <c r="M17" s="16"/>
      <c r="N17" s="16"/>
      <c r="O17" s="16"/>
      <c r="P17" s="16"/>
      <c r="Q17" s="16"/>
      <c r="R17" s="16"/>
      <c r="S17" s="16"/>
      <c r="T17" s="16"/>
      <c r="U17" s="16"/>
      <c r="V17" s="16"/>
      <c r="W17" s="16"/>
      <c r="X17" s="16"/>
    </row>
    <row r="18" spans="1:24" x14ac:dyDescent="0.25">
      <c r="A18" s="16"/>
      <c r="B18" s="16"/>
      <c r="C18" s="16"/>
      <c r="D18" s="16"/>
      <c r="E18" s="16"/>
      <c r="F18" s="16"/>
      <c r="G18" s="16"/>
      <c r="H18" s="16"/>
      <c r="I18" s="16"/>
      <c r="J18" s="16"/>
      <c r="K18" s="16"/>
      <c r="L18" s="16"/>
      <c r="M18" s="16"/>
      <c r="N18" s="16"/>
      <c r="O18" s="16"/>
      <c r="P18" s="16"/>
      <c r="Q18" s="16"/>
      <c r="R18" s="16"/>
      <c r="S18" s="16"/>
      <c r="T18" s="16"/>
      <c r="U18" s="16"/>
      <c r="V18" s="16"/>
      <c r="W18" s="16"/>
      <c r="X18" s="16"/>
    </row>
    <row r="19" spans="1:24" x14ac:dyDescent="0.25">
      <c r="A19" s="16"/>
      <c r="B19" s="16"/>
      <c r="C19" s="16"/>
      <c r="D19" s="16"/>
      <c r="E19" s="16"/>
      <c r="F19" s="16"/>
      <c r="G19" s="16"/>
      <c r="H19" s="16"/>
      <c r="I19" s="16"/>
      <c r="J19" s="16"/>
      <c r="K19" s="16"/>
      <c r="L19" s="16"/>
      <c r="M19" s="16"/>
      <c r="N19" s="16"/>
      <c r="O19" s="16"/>
      <c r="P19" s="16"/>
      <c r="Q19" s="16"/>
      <c r="R19" s="16"/>
      <c r="S19" s="16"/>
      <c r="T19" s="16"/>
      <c r="U19" s="16"/>
      <c r="V19" s="16"/>
      <c r="W19" s="16"/>
      <c r="X19" s="16"/>
    </row>
    <row r="20" spans="1:24" x14ac:dyDescent="0.25">
      <c r="A20" s="16"/>
      <c r="B20" s="16"/>
      <c r="C20" s="16"/>
      <c r="D20" s="16"/>
      <c r="E20" s="16"/>
      <c r="F20" s="16"/>
      <c r="G20" s="16"/>
      <c r="H20" s="16"/>
      <c r="I20" s="16"/>
      <c r="J20" s="16"/>
      <c r="K20" s="16"/>
      <c r="L20" s="16"/>
      <c r="M20" s="16"/>
      <c r="N20" s="16"/>
      <c r="O20" s="16"/>
      <c r="P20" s="16"/>
      <c r="Q20" s="16"/>
      <c r="R20" s="16"/>
      <c r="S20" s="16"/>
      <c r="T20" s="16"/>
      <c r="U20" s="16"/>
      <c r="V20" s="16"/>
      <c r="W20" s="16"/>
      <c r="X20" s="16"/>
    </row>
    <row r="21" spans="1:24" x14ac:dyDescent="0.25">
      <c r="A21" s="16"/>
      <c r="B21" s="16"/>
      <c r="C21" s="16"/>
      <c r="D21" s="16"/>
      <c r="E21" s="16"/>
      <c r="F21" s="16"/>
      <c r="G21" s="16"/>
      <c r="H21" s="16"/>
      <c r="I21" s="16"/>
      <c r="J21" s="16"/>
      <c r="K21" s="16"/>
      <c r="L21" s="16"/>
      <c r="M21" s="16"/>
      <c r="N21" s="16"/>
      <c r="O21" s="16"/>
      <c r="P21" s="16"/>
      <c r="Q21" s="16"/>
      <c r="R21" s="16"/>
      <c r="S21" s="16"/>
      <c r="T21" s="16"/>
      <c r="U21" s="16"/>
      <c r="V21" s="16"/>
      <c r="W21" s="16"/>
      <c r="X21" s="16"/>
    </row>
    <row r="22" spans="1:24" x14ac:dyDescent="0.25">
      <c r="A22" s="16"/>
      <c r="B22" s="16"/>
      <c r="C22" s="16"/>
      <c r="D22" s="16"/>
      <c r="E22" s="16"/>
      <c r="F22" s="16"/>
      <c r="G22" s="16"/>
      <c r="H22" s="16"/>
      <c r="I22" s="16"/>
      <c r="J22" s="16"/>
      <c r="K22" s="16"/>
      <c r="L22" s="16"/>
      <c r="M22" s="16"/>
      <c r="N22" s="16"/>
      <c r="O22" s="16"/>
      <c r="P22" s="16"/>
      <c r="Q22" s="16"/>
      <c r="R22" s="16"/>
      <c r="S22" s="16"/>
      <c r="T22" s="16"/>
      <c r="U22" s="16"/>
      <c r="V22" s="16"/>
      <c r="W22" s="16"/>
      <c r="X22" s="16"/>
    </row>
    <row r="23" spans="1:24"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row>
    <row r="24" spans="1:24" x14ac:dyDescent="0.25">
      <c r="A24" s="16"/>
      <c r="B24" s="16"/>
      <c r="C24" s="16"/>
      <c r="D24" s="16"/>
      <c r="E24" s="16"/>
      <c r="F24" s="16"/>
      <c r="G24" s="16"/>
      <c r="H24" s="16"/>
      <c r="I24" s="16"/>
      <c r="J24" s="16"/>
      <c r="K24" s="16"/>
      <c r="L24" s="16"/>
      <c r="M24" s="16"/>
      <c r="N24" s="16"/>
      <c r="O24" s="16"/>
      <c r="P24" s="16"/>
      <c r="Q24" s="16"/>
      <c r="R24" s="16"/>
      <c r="S24" s="16"/>
      <c r="T24" s="16"/>
      <c r="U24" s="16"/>
      <c r="V24" s="16"/>
      <c r="W24" s="16"/>
      <c r="X24" s="16"/>
    </row>
    <row r="25" spans="1:24" x14ac:dyDescent="0.25">
      <c r="A25" s="16"/>
      <c r="B25" s="16"/>
      <c r="C25" s="16"/>
      <c r="D25" s="16"/>
      <c r="E25" s="16"/>
      <c r="F25" s="16"/>
      <c r="G25" s="16"/>
      <c r="H25" s="16"/>
      <c r="I25" s="16"/>
      <c r="J25" s="16"/>
      <c r="K25" s="16"/>
      <c r="L25" s="16"/>
      <c r="M25" s="16"/>
      <c r="N25" s="16"/>
      <c r="O25" s="16"/>
      <c r="P25" s="16"/>
      <c r="Q25" s="16"/>
      <c r="R25" s="16"/>
      <c r="S25" s="16"/>
      <c r="T25" s="16"/>
      <c r="U25" s="16"/>
      <c r="V25" s="16"/>
      <c r="W25" s="16"/>
      <c r="X25" s="16"/>
    </row>
    <row r="26" spans="1:24" x14ac:dyDescent="0.25">
      <c r="A26" s="16"/>
      <c r="B26" s="16"/>
      <c r="C26" s="16"/>
      <c r="D26" s="16"/>
      <c r="E26" s="16"/>
      <c r="F26" s="16"/>
      <c r="G26" s="16"/>
      <c r="H26" s="16"/>
      <c r="I26" s="16"/>
      <c r="J26" s="16"/>
      <c r="K26" s="16"/>
      <c r="L26" s="16"/>
      <c r="M26" s="16"/>
      <c r="N26" s="16"/>
      <c r="O26" s="16"/>
      <c r="P26" s="16"/>
      <c r="Q26" s="16"/>
      <c r="R26" s="16"/>
      <c r="S26" s="16"/>
      <c r="T26" s="16"/>
      <c r="U26" s="16"/>
      <c r="V26" s="16"/>
      <c r="W26" s="16"/>
      <c r="X26" s="16"/>
    </row>
    <row r="27" spans="1:24" x14ac:dyDescent="0.25">
      <c r="A27" s="16"/>
      <c r="B27" s="16"/>
      <c r="C27" s="16"/>
      <c r="D27" s="16"/>
      <c r="E27" s="16"/>
      <c r="F27" s="16"/>
      <c r="G27" s="16"/>
      <c r="H27" s="16"/>
      <c r="I27" s="16"/>
      <c r="J27" s="16"/>
      <c r="K27" s="16"/>
      <c r="L27" s="16"/>
      <c r="M27" s="16"/>
      <c r="N27" s="16"/>
      <c r="O27" s="16"/>
      <c r="P27" s="16"/>
      <c r="Q27" s="16"/>
      <c r="R27" s="16"/>
      <c r="S27" s="16"/>
      <c r="T27" s="16"/>
      <c r="U27" s="16"/>
      <c r="V27" s="16"/>
      <c r="W27" s="16"/>
      <c r="X27" s="16"/>
    </row>
    <row r="28" spans="1:24" x14ac:dyDescent="0.25">
      <c r="A28" s="16"/>
      <c r="B28" s="16"/>
      <c r="C28" s="16"/>
      <c r="D28" s="16"/>
      <c r="E28" s="16"/>
      <c r="F28" s="16"/>
      <c r="G28" s="16"/>
      <c r="H28" s="16"/>
      <c r="I28" s="16"/>
      <c r="J28" s="16"/>
      <c r="K28" s="16"/>
      <c r="L28" s="16"/>
      <c r="M28" s="16"/>
      <c r="N28" s="16"/>
      <c r="O28" s="16"/>
      <c r="P28" s="16"/>
      <c r="Q28" s="16"/>
      <c r="R28" s="16"/>
      <c r="S28" s="16"/>
      <c r="T28" s="16"/>
      <c r="U28" s="16"/>
      <c r="V28" s="16"/>
      <c r="W28" s="16"/>
      <c r="X28" s="16"/>
    </row>
    <row r="29" spans="1:24" x14ac:dyDescent="0.25">
      <c r="A29" s="16"/>
      <c r="B29" s="16"/>
      <c r="C29" s="16"/>
      <c r="D29" s="16"/>
      <c r="E29" s="16"/>
      <c r="F29" s="16"/>
      <c r="G29" s="16"/>
      <c r="H29" s="16"/>
      <c r="I29" s="16"/>
      <c r="J29" s="16"/>
      <c r="K29" s="16"/>
      <c r="L29" s="16"/>
      <c r="M29" s="16"/>
      <c r="N29" s="16"/>
      <c r="O29" s="16"/>
      <c r="P29" s="16"/>
      <c r="Q29" s="16"/>
      <c r="R29" s="16"/>
      <c r="S29" s="16"/>
      <c r="T29" s="16"/>
      <c r="U29" s="16"/>
      <c r="V29" s="16"/>
      <c r="W29" s="16"/>
      <c r="X29" s="16"/>
    </row>
    <row r="30" spans="1:24" x14ac:dyDescent="0.25">
      <c r="A30" s="16"/>
      <c r="B30" s="16"/>
      <c r="C30" s="16"/>
      <c r="D30" s="16"/>
      <c r="E30" s="16"/>
      <c r="F30" s="16"/>
      <c r="G30" s="16"/>
      <c r="H30" s="16"/>
      <c r="I30" s="16"/>
      <c r="J30" s="16"/>
      <c r="K30" s="16"/>
      <c r="L30" s="16"/>
      <c r="M30" s="16"/>
      <c r="N30" s="16"/>
      <c r="O30" s="16"/>
      <c r="P30" s="16"/>
      <c r="Q30" s="16"/>
      <c r="R30" s="16"/>
      <c r="S30" s="16"/>
      <c r="T30" s="16"/>
      <c r="U30" s="16"/>
      <c r="V30" s="16"/>
      <c r="W30" s="16"/>
      <c r="X30" s="16"/>
    </row>
    <row r="31" spans="1:24" x14ac:dyDescent="0.25">
      <c r="A31" s="16"/>
      <c r="B31" s="16"/>
      <c r="C31" s="16"/>
      <c r="D31" s="16"/>
      <c r="E31" s="16"/>
      <c r="F31" s="16"/>
      <c r="G31" s="16"/>
      <c r="H31" s="16"/>
      <c r="I31" s="16"/>
      <c r="J31" s="16"/>
      <c r="K31" s="16"/>
      <c r="L31" s="16"/>
      <c r="M31" s="16"/>
      <c r="N31" s="16"/>
      <c r="O31" s="16"/>
      <c r="P31" s="16"/>
      <c r="Q31" s="16"/>
      <c r="R31" s="16"/>
      <c r="S31" s="16"/>
      <c r="T31" s="16"/>
      <c r="U31" s="16"/>
      <c r="V31" s="16"/>
      <c r="W31" s="16"/>
      <c r="X31" s="16"/>
    </row>
    <row r="32" spans="1:24" x14ac:dyDescent="0.25">
      <c r="A32" s="16"/>
      <c r="B32" s="16"/>
      <c r="C32" s="16"/>
      <c r="D32" s="16"/>
      <c r="E32" s="16"/>
      <c r="F32" s="16"/>
      <c r="G32" s="16"/>
      <c r="H32" s="16"/>
      <c r="I32" s="16"/>
      <c r="J32" s="16"/>
      <c r="K32" s="16"/>
      <c r="L32" s="16"/>
      <c r="M32" s="16"/>
      <c r="N32" s="16"/>
      <c r="O32" s="16"/>
      <c r="P32" s="16"/>
      <c r="Q32" s="16"/>
      <c r="R32" s="16"/>
      <c r="S32" s="16"/>
      <c r="T32" s="16"/>
      <c r="U32" s="16"/>
      <c r="V32" s="16"/>
      <c r="W32" s="16"/>
      <c r="X32" s="16"/>
    </row>
    <row r="33" spans="1:24" x14ac:dyDescent="0.25">
      <c r="A33" s="16"/>
      <c r="B33" s="16"/>
      <c r="C33" s="16"/>
      <c r="D33" s="16"/>
      <c r="E33" s="16"/>
      <c r="F33" s="16"/>
      <c r="G33" s="16"/>
      <c r="H33" s="16"/>
      <c r="I33" s="16"/>
      <c r="J33" s="16"/>
      <c r="K33" s="16"/>
      <c r="L33" s="16"/>
      <c r="M33" s="16"/>
      <c r="N33" s="16"/>
      <c r="O33" s="16"/>
      <c r="P33" s="16"/>
      <c r="Q33" s="16"/>
      <c r="R33" s="16"/>
      <c r="S33" s="16"/>
      <c r="T33" s="16"/>
      <c r="U33" s="16"/>
      <c r="V33" s="16"/>
      <c r="W33" s="16"/>
      <c r="X33" s="16"/>
    </row>
    <row r="34" spans="1:24" x14ac:dyDescent="0.25">
      <c r="A34" s="16"/>
      <c r="B34" s="16"/>
      <c r="C34" s="16"/>
      <c r="D34" s="16"/>
      <c r="E34" s="16"/>
      <c r="F34" s="16"/>
      <c r="G34" s="16"/>
      <c r="H34" s="16"/>
      <c r="I34" s="16"/>
      <c r="J34" s="16"/>
      <c r="K34" s="16"/>
      <c r="L34" s="16"/>
      <c r="M34" s="16"/>
      <c r="N34" s="16"/>
      <c r="O34" s="16"/>
      <c r="P34" s="16"/>
      <c r="Q34" s="16"/>
      <c r="R34" s="16"/>
      <c r="S34" s="16"/>
      <c r="T34" s="16"/>
      <c r="U34" s="16"/>
      <c r="V34" s="16"/>
      <c r="W34" s="16"/>
      <c r="X34" s="16"/>
    </row>
    <row r="35" spans="1:24" x14ac:dyDescent="0.25">
      <c r="A35" s="16"/>
      <c r="B35" s="16"/>
      <c r="C35" s="16"/>
      <c r="D35" s="16"/>
      <c r="E35" s="16"/>
      <c r="F35" s="16"/>
      <c r="G35" s="16"/>
      <c r="H35" s="16"/>
      <c r="I35" s="16"/>
      <c r="J35" s="16"/>
      <c r="K35" s="16"/>
      <c r="L35" s="16"/>
      <c r="M35" s="16"/>
      <c r="N35" s="16"/>
      <c r="O35" s="16"/>
      <c r="P35" s="16"/>
      <c r="Q35" s="16"/>
      <c r="R35" s="16"/>
      <c r="S35" s="16"/>
      <c r="T35" s="16"/>
      <c r="U35" s="16"/>
      <c r="V35" s="16"/>
      <c r="W35" s="16"/>
      <c r="X35" s="16"/>
    </row>
    <row r="36" spans="1:24" x14ac:dyDescent="0.25">
      <c r="A36" s="16"/>
      <c r="B36" s="16"/>
      <c r="C36" s="16"/>
      <c r="D36" s="16"/>
      <c r="E36" s="16"/>
      <c r="F36" s="16"/>
      <c r="G36" s="16"/>
      <c r="H36" s="16"/>
      <c r="I36" s="16"/>
      <c r="J36" s="16"/>
      <c r="K36" s="16"/>
      <c r="L36" s="16"/>
      <c r="M36" s="16"/>
      <c r="N36" s="16"/>
      <c r="O36" s="16"/>
      <c r="P36" s="16"/>
      <c r="Q36" s="16"/>
      <c r="R36" s="16"/>
      <c r="S36" s="16"/>
      <c r="T36" s="16"/>
      <c r="U36" s="16"/>
      <c r="V36" s="16"/>
      <c r="W36" s="16"/>
      <c r="X36" s="16"/>
    </row>
    <row r="37" spans="1:24" x14ac:dyDescent="0.25">
      <c r="A37" s="16"/>
      <c r="B37" s="16"/>
      <c r="C37" s="16"/>
      <c r="D37" s="16"/>
      <c r="E37" s="16"/>
      <c r="F37" s="16"/>
      <c r="G37" s="16"/>
      <c r="H37" s="16"/>
      <c r="I37" s="16"/>
      <c r="J37" s="16"/>
      <c r="K37" s="16"/>
      <c r="L37" s="16"/>
      <c r="M37" s="16"/>
      <c r="N37" s="16"/>
      <c r="O37" s="16"/>
      <c r="P37" s="16"/>
      <c r="Q37" s="16"/>
      <c r="R37" s="16"/>
      <c r="S37" s="16"/>
      <c r="T37" s="16"/>
      <c r="U37" s="16"/>
      <c r="V37" s="16"/>
      <c r="W37" s="16"/>
      <c r="X37" s="16"/>
    </row>
    <row r="38" spans="1:24" x14ac:dyDescent="0.25">
      <c r="A38" s="16"/>
      <c r="B38" s="16"/>
      <c r="C38" s="16"/>
      <c r="D38" s="16"/>
      <c r="E38" s="16"/>
      <c r="F38" s="16"/>
      <c r="G38" s="16"/>
      <c r="H38" s="16"/>
      <c r="I38" s="16"/>
      <c r="J38" s="16"/>
      <c r="K38" s="16"/>
      <c r="L38" s="16"/>
      <c r="M38" s="16"/>
      <c r="N38" s="16"/>
      <c r="O38" s="16"/>
      <c r="P38" s="16"/>
      <c r="Q38" s="16"/>
      <c r="R38" s="16"/>
      <c r="S38" s="16"/>
      <c r="T38" s="16"/>
      <c r="U38" s="16"/>
      <c r="V38" s="16"/>
      <c r="W38" s="16"/>
      <c r="X38" s="16"/>
    </row>
    <row r="39" spans="1:24" x14ac:dyDescent="0.25">
      <c r="A39" s="16"/>
      <c r="B39" s="16"/>
      <c r="C39" s="16"/>
      <c r="D39" s="16"/>
      <c r="E39" s="16"/>
      <c r="F39" s="16"/>
      <c r="G39" s="16"/>
      <c r="H39" s="16"/>
      <c r="I39" s="16"/>
      <c r="J39" s="16"/>
      <c r="K39" s="16"/>
      <c r="L39" s="16"/>
      <c r="M39" s="16"/>
      <c r="N39" s="16"/>
      <c r="O39" s="16"/>
      <c r="P39" s="16"/>
      <c r="Q39" s="16"/>
      <c r="R39" s="16"/>
      <c r="S39" s="16"/>
      <c r="T39" s="16"/>
      <c r="U39" s="16"/>
      <c r="V39" s="16"/>
      <c r="W39" s="16"/>
      <c r="X39" s="16"/>
    </row>
    <row r="40" spans="1:24" x14ac:dyDescent="0.25">
      <c r="A40" s="16"/>
      <c r="B40" s="16"/>
      <c r="C40" s="16"/>
      <c r="D40" s="16"/>
      <c r="E40" s="16"/>
      <c r="F40" s="16"/>
      <c r="G40" s="16"/>
      <c r="H40" s="16"/>
      <c r="I40" s="16"/>
      <c r="J40" s="16"/>
      <c r="K40" s="16"/>
      <c r="L40" s="16"/>
      <c r="M40" s="16"/>
      <c r="N40" s="16"/>
      <c r="O40" s="16"/>
      <c r="P40" s="16"/>
      <c r="Q40" s="16"/>
      <c r="R40" s="16"/>
      <c r="S40" s="16"/>
      <c r="T40" s="16"/>
      <c r="U40" s="16"/>
      <c r="V40" s="16"/>
      <c r="W40" s="16"/>
      <c r="X40" s="16"/>
    </row>
    <row r="41" spans="1:24" x14ac:dyDescent="0.25">
      <c r="A41" s="16"/>
      <c r="B41" s="16"/>
      <c r="C41" s="16"/>
      <c r="D41" s="16"/>
      <c r="E41" s="16"/>
      <c r="F41" s="16"/>
      <c r="G41" s="16"/>
      <c r="H41" s="16"/>
      <c r="I41" s="16"/>
      <c r="J41" s="16"/>
      <c r="K41" s="16"/>
      <c r="L41" s="16"/>
      <c r="M41" s="16"/>
      <c r="N41" s="16"/>
      <c r="O41" s="16"/>
      <c r="P41" s="16"/>
      <c r="Q41" s="16"/>
      <c r="R41" s="16"/>
      <c r="S41" s="16"/>
      <c r="T41" s="16"/>
      <c r="U41" s="16"/>
      <c r="V41" s="16"/>
      <c r="W41" s="16"/>
      <c r="X41" s="16"/>
    </row>
    <row r="42" spans="1:24" x14ac:dyDescent="0.25">
      <c r="A42" s="16"/>
      <c r="B42" s="16"/>
      <c r="C42" s="16"/>
      <c r="D42" s="16"/>
      <c r="E42" s="16"/>
      <c r="F42" s="16"/>
      <c r="G42" s="16"/>
      <c r="H42" s="16"/>
      <c r="I42" s="16"/>
      <c r="J42" s="16"/>
      <c r="K42" s="16"/>
      <c r="L42" s="16"/>
      <c r="M42" s="16"/>
      <c r="N42" s="16"/>
      <c r="O42" s="16"/>
      <c r="P42" s="16"/>
      <c r="Q42" s="16"/>
      <c r="R42" s="16"/>
      <c r="S42" s="16"/>
      <c r="T42" s="16"/>
      <c r="U42" s="16"/>
      <c r="V42" s="16"/>
      <c r="W42" s="16"/>
      <c r="X42" s="16"/>
    </row>
    <row r="43" spans="1:24" x14ac:dyDescent="0.25">
      <c r="A43" s="16"/>
      <c r="B43" s="16"/>
      <c r="C43" s="16"/>
      <c r="D43" s="16"/>
      <c r="E43" s="16"/>
      <c r="F43" s="16"/>
      <c r="G43" s="16"/>
      <c r="H43" s="16"/>
      <c r="I43" s="16"/>
      <c r="J43" s="16"/>
      <c r="K43" s="16"/>
      <c r="L43" s="16"/>
      <c r="M43" s="16"/>
      <c r="N43" s="16"/>
      <c r="O43" s="16"/>
      <c r="P43" s="16"/>
      <c r="Q43" s="16"/>
      <c r="R43" s="16"/>
      <c r="S43" s="16"/>
      <c r="T43" s="16"/>
      <c r="U43" s="16"/>
      <c r="V43" s="16"/>
      <c r="W43" s="16"/>
      <c r="X43" s="16"/>
    </row>
    <row r="44" spans="1:24" x14ac:dyDescent="0.25">
      <c r="A44" s="16"/>
      <c r="B44" s="16"/>
      <c r="C44" s="16"/>
      <c r="D44" s="16"/>
      <c r="E44" s="16"/>
      <c r="F44" s="16"/>
      <c r="G44" s="16"/>
      <c r="H44" s="16"/>
      <c r="I44" s="16"/>
      <c r="J44" s="16"/>
      <c r="K44" s="16"/>
      <c r="L44" s="16"/>
      <c r="M44" s="16"/>
      <c r="N44" s="16"/>
      <c r="O44" s="16"/>
      <c r="P44" s="16"/>
      <c r="Q44" s="16"/>
      <c r="R44" s="16"/>
      <c r="S44" s="16"/>
      <c r="T44" s="16"/>
      <c r="U44" s="16"/>
      <c r="V44" s="16"/>
      <c r="W44" s="16"/>
      <c r="X44" s="16"/>
    </row>
    <row r="45" spans="1:24" x14ac:dyDescent="0.25">
      <c r="A45" s="16"/>
      <c r="B45" s="16"/>
      <c r="C45" s="16"/>
      <c r="D45" s="16"/>
      <c r="E45" s="16"/>
      <c r="F45" s="16"/>
      <c r="G45" s="16"/>
      <c r="H45" s="16"/>
      <c r="I45" s="16"/>
      <c r="J45" s="16"/>
      <c r="K45" s="16"/>
      <c r="L45" s="16"/>
      <c r="M45" s="16"/>
      <c r="N45" s="16"/>
      <c r="O45" s="16"/>
      <c r="P45" s="16"/>
      <c r="Q45" s="16"/>
      <c r="R45" s="16"/>
      <c r="S45" s="16"/>
      <c r="T45" s="16"/>
      <c r="U45" s="16"/>
      <c r="V45" s="16"/>
      <c r="W45" s="16"/>
      <c r="X45" s="16"/>
    </row>
    <row r="46" spans="1:24" x14ac:dyDescent="0.25">
      <c r="A46" s="16"/>
      <c r="B46" s="16"/>
      <c r="C46" s="16"/>
      <c r="D46" s="16"/>
      <c r="E46" s="16"/>
      <c r="F46" s="16"/>
      <c r="G46" s="16"/>
      <c r="H46" s="16"/>
      <c r="I46" s="16"/>
      <c r="J46" s="16"/>
      <c r="K46" s="16"/>
      <c r="L46" s="16"/>
      <c r="M46" s="16"/>
      <c r="N46" s="16"/>
      <c r="O46" s="16"/>
      <c r="P46" s="16"/>
      <c r="Q46" s="16"/>
      <c r="R46" s="16"/>
      <c r="S46" s="16"/>
      <c r="T46" s="16"/>
      <c r="U46" s="16"/>
      <c r="V46" s="16"/>
      <c r="W46" s="16"/>
      <c r="X46" s="16"/>
    </row>
    <row r="47" spans="1:24" x14ac:dyDescent="0.25">
      <c r="A47" s="16"/>
      <c r="B47" s="16"/>
      <c r="C47" s="16"/>
      <c r="D47" s="16"/>
      <c r="E47" s="16"/>
      <c r="F47" s="16"/>
      <c r="G47" s="16"/>
      <c r="H47" s="16"/>
      <c r="I47" s="16"/>
      <c r="J47" s="16"/>
      <c r="K47" s="16"/>
      <c r="L47" s="16"/>
      <c r="M47" s="16"/>
      <c r="N47" s="16"/>
      <c r="O47" s="16"/>
      <c r="P47" s="16"/>
      <c r="Q47" s="16"/>
      <c r="R47" s="16"/>
      <c r="S47" s="16"/>
      <c r="T47" s="16"/>
      <c r="U47" s="16"/>
      <c r="V47" s="16"/>
      <c r="W47" s="16"/>
      <c r="X47" s="16"/>
    </row>
    <row r="48" spans="1:24" x14ac:dyDescent="0.25">
      <c r="A48" s="16"/>
      <c r="B48" s="16"/>
      <c r="C48" s="16"/>
      <c r="D48" s="16"/>
      <c r="E48" s="16"/>
      <c r="F48" s="16"/>
      <c r="G48" s="16"/>
      <c r="H48" s="16"/>
      <c r="I48" s="16"/>
      <c r="J48" s="16"/>
      <c r="K48" s="16"/>
      <c r="L48" s="16"/>
      <c r="M48" s="16"/>
      <c r="N48" s="16"/>
      <c r="O48" s="16"/>
      <c r="P48" s="16"/>
      <c r="Q48" s="16"/>
      <c r="R48" s="16"/>
      <c r="S48" s="16"/>
      <c r="T48" s="16"/>
      <c r="U48" s="16"/>
      <c r="V48" s="16"/>
      <c r="W48" s="16"/>
      <c r="X48" s="16"/>
    </row>
    <row r="49" spans="1:24" x14ac:dyDescent="0.25">
      <c r="A49" s="16"/>
      <c r="B49" s="16"/>
      <c r="C49" s="16"/>
      <c r="D49" s="16"/>
      <c r="E49" s="16"/>
      <c r="F49" s="16"/>
      <c r="G49" s="16"/>
      <c r="H49" s="16"/>
      <c r="I49" s="16"/>
      <c r="J49" s="16"/>
      <c r="K49" s="16"/>
      <c r="L49" s="16"/>
      <c r="M49" s="16"/>
      <c r="N49" s="16"/>
      <c r="O49" s="16"/>
      <c r="P49" s="16"/>
      <c r="Q49" s="16"/>
      <c r="R49" s="16"/>
      <c r="S49" s="16"/>
      <c r="T49" s="16"/>
      <c r="U49" s="16"/>
      <c r="V49" s="16"/>
      <c r="W49" s="16"/>
      <c r="X49" s="16"/>
    </row>
    <row r="50" spans="1:24" x14ac:dyDescent="0.25">
      <c r="A50" s="22"/>
      <c r="B50" s="22"/>
      <c r="C50" s="22"/>
      <c r="D50" s="22"/>
      <c r="E50" s="22"/>
      <c r="F50" s="22"/>
      <c r="G50" s="22"/>
      <c r="H50" s="22"/>
      <c r="I50" s="22"/>
      <c r="J50" s="22"/>
      <c r="K50" s="22"/>
      <c r="L50" s="22"/>
      <c r="M50" s="22"/>
      <c r="N50" s="22"/>
      <c r="O50" s="22"/>
      <c r="P50" s="22"/>
      <c r="Q50" s="22"/>
      <c r="R50" s="22"/>
      <c r="S50" s="22"/>
      <c r="T50" s="22"/>
      <c r="U50" s="22"/>
      <c r="V50" s="22"/>
      <c r="W50" s="22"/>
      <c r="X50" s="22"/>
    </row>
    <row r="51" spans="1:24" x14ac:dyDescent="0.25">
      <c r="A51" s="22"/>
      <c r="B51" s="22"/>
      <c r="C51" s="22"/>
      <c r="D51" s="22"/>
      <c r="E51" s="22"/>
      <c r="F51" s="22"/>
      <c r="G51" s="22"/>
      <c r="H51" s="22"/>
      <c r="I51" s="22"/>
      <c r="J51" s="22"/>
      <c r="K51" s="22"/>
      <c r="L51" s="22"/>
      <c r="M51" s="22"/>
      <c r="N51" s="22"/>
      <c r="O51" s="22"/>
      <c r="P51" s="22"/>
      <c r="Q51" s="22"/>
      <c r="R51" s="22"/>
      <c r="S51" s="22"/>
      <c r="T51" s="22"/>
      <c r="U51" s="22"/>
      <c r="V51" s="22"/>
      <c r="W51" s="22"/>
      <c r="X51" s="22"/>
    </row>
    <row r="52" spans="1:24" x14ac:dyDescent="0.25">
      <c r="A52" s="22"/>
      <c r="B52" s="22"/>
      <c r="C52" s="22"/>
      <c r="D52" s="22"/>
      <c r="E52" s="22"/>
      <c r="F52" s="22"/>
      <c r="G52" s="22"/>
      <c r="H52" s="22"/>
      <c r="I52" s="22"/>
      <c r="J52" s="22"/>
      <c r="K52" s="22"/>
      <c r="L52" s="22"/>
      <c r="M52" s="22"/>
      <c r="N52" s="22"/>
      <c r="O52" s="22"/>
      <c r="P52" s="22"/>
      <c r="Q52" s="22"/>
      <c r="R52" s="22"/>
      <c r="S52" s="22"/>
      <c r="T52" s="22"/>
      <c r="U52" s="22"/>
      <c r="V52" s="22"/>
      <c r="W52" s="22"/>
      <c r="X52" s="22"/>
    </row>
    <row r="53" spans="1:24" x14ac:dyDescent="0.25">
      <c r="A53" s="22"/>
      <c r="B53" s="22"/>
      <c r="C53" s="22"/>
      <c r="D53" s="22"/>
      <c r="E53" s="22"/>
      <c r="F53" s="22"/>
      <c r="G53" s="22"/>
      <c r="H53" s="22"/>
      <c r="I53" s="22"/>
      <c r="J53" s="22"/>
      <c r="K53" s="22"/>
      <c r="L53" s="22"/>
      <c r="M53" s="22"/>
      <c r="N53" s="22"/>
      <c r="O53" s="22"/>
      <c r="P53" s="22"/>
      <c r="Q53" s="22"/>
      <c r="R53" s="22"/>
      <c r="S53" s="22"/>
      <c r="T53" s="22"/>
      <c r="U53" s="22"/>
      <c r="V53" s="22"/>
      <c r="W53" s="22"/>
      <c r="X53" s="22"/>
    </row>
    <row r="54" spans="1:24" x14ac:dyDescent="0.25">
      <c r="A54" s="22"/>
      <c r="B54" s="22"/>
      <c r="C54" s="22"/>
      <c r="D54" s="22"/>
      <c r="E54" s="22"/>
      <c r="F54" s="22"/>
      <c r="G54" s="22"/>
      <c r="H54" s="22"/>
      <c r="I54" s="22"/>
      <c r="J54" s="22"/>
      <c r="K54" s="22"/>
      <c r="L54" s="22"/>
      <c r="M54" s="22"/>
      <c r="N54" s="22"/>
      <c r="O54" s="22"/>
      <c r="P54" s="22"/>
      <c r="Q54" s="22"/>
      <c r="R54" s="22"/>
      <c r="S54" s="22"/>
      <c r="T54" s="22"/>
      <c r="U54" s="22"/>
      <c r="V54" s="22"/>
      <c r="W54" s="22"/>
      <c r="X54" s="22"/>
    </row>
    <row r="55" spans="1:24" x14ac:dyDescent="0.25">
      <c r="A55" s="22"/>
      <c r="B55" s="22"/>
      <c r="C55" s="22"/>
      <c r="D55" s="22"/>
      <c r="E55" s="22"/>
      <c r="F55" s="22"/>
      <c r="G55" s="22"/>
      <c r="H55" s="22"/>
      <c r="I55" s="22"/>
      <c r="J55" s="22"/>
      <c r="K55" s="22"/>
      <c r="L55" s="22"/>
      <c r="M55" s="22"/>
      <c r="N55" s="22"/>
      <c r="O55" s="22"/>
      <c r="P55" s="22"/>
      <c r="Q55" s="22"/>
      <c r="R55" s="22"/>
      <c r="S55" s="22"/>
      <c r="T55" s="22"/>
      <c r="U55" s="22"/>
      <c r="V55" s="22"/>
      <c r="W55" s="22"/>
      <c r="X55" s="22"/>
    </row>
    <row r="56" spans="1:24" x14ac:dyDescent="0.25">
      <c r="A56" s="22"/>
      <c r="B56" s="22"/>
      <c r="C56" s="22"/>
      <c r="D56" s="22"/>
      <c r="E56" s="22"/>
      <c r="F56" s="22"/>
      <c r="G56" s="22"/>
      <c r="H56" s="22"/>
      <c r="I56" s="22"/>
      <c r="J56" s="22"/>
      <c r="K56" s="22"/>
      <c r="L56" s="22"/>
      <c r="M56" s="22"/>
      <c r="N56" s="22"/>
      <c r="O56" s="22"/>
      <c r="P56" s="22"/>
      <c r="Q56" s="22"/>
      <c r="R56" s="22"/>
      <c r="S56" s="22"/>
      <c r="T56" s="22"/>
      <c r="U56" s="22"/>
      <c r="V56" s="22"/>
      <c r="W56" s="22"/>
      <c r="X56" s="22"/>
    </row>
    <row r="57" spans="1:24" x14ac:dyDescent="0.25">
      <c r="A57" s="22"/>
      <c r="B57" s="22"/>
      <c r="C57" s="22"/>
      <c r="D57" s="22"/>
      <c r="E57" s="22"/>
      <c r="F57" s="22"/>
      <c r="G57" s="22"/>
      <c r="H57" s="22"/>
      <c r="I57" s="22"/>
      <c r="J57" s="22"/>
      <c r="K57" s="22"/>
      <c r="L57" s="22"/>
      <c r="M57" s="22"/>
      <c r="N57" s="22"/>
      <c r="O57" s="22"/>
      <c r="P57" s="22"/>
      <c r="Q57" s="22"/>
      <c r="R57" s="22"/>
      <c r="S57" s="22"/>
      <c r="T57" s="22"/>
      <c r="U57" s="22"/>
      <c r="V57" s="22"/>
      <c r="W57" s="22"/>
      <c r="X57" s="22"/>
    </row>
    <row r="58" spans="1:24" x14ac:dyDescent="0.25">
      <c r="A58" s="22"/>
      <c r="B58" s="22"/>
      <c r="C58" s="22"/>
      <c r="D58" s="22"/>
      <c r="E58" s="22"/>
      <c r="F58" s="22"/>
      <c r="G58" s="22"/>
      <c r="H58" s="22"/>
      <c r="I58" s="22"/>
      <c r="J58" s="22"/>
      <c r="K58" s="22"/>
      <c r="L58" s="22"/>
      <c r="M58" s="22"/>
      <c r="N58" s="22"/>
      <c r="O58" s="22"/>
      <c r="P58" s="22"/>
      <c r="Q58" s="22"/>
      <c r="R58" s="22"/>
      <c r="S58" s="22"/>
      <c r="T58" s="22"/>
      <c r="U58" s="22"/>
      <c r="V58" s="22"/>
      <c r="W58" s="22"/>
      <c r="X58" s="22"/>
    </row>
    <row r="59" spans="1:24" x14ac:dyDescent="0.25">
      <c r="A59" s="22"/>
      <c r="B59" s="22"/>
      <c r="C59" s="22"/>
      <c r="D59" s="22"/>
      <c r="E59" s="22"/>
      <c r="F59" s="22"/>
      <c r="G59" s="22"/>
      <c r="H59" s="22"/>
      <c r="I59" s="22"/>
      <c r="J59" s="22"/>
      <c r="K59" s="22"/>
      <c r="L59" s="22"/>
      <c r="M59" s="22"/>
      <c r="N59" s="22"/>
      <c r="O59" s="22"/>
      <c r="P59" s="22"/>
      <c r="Q59" s="22"/>
      <c r="R59" s="22"/>
      <c r="S59" s="22"/>
      <c r="T59" s="22"/>
      <c r="U59" s="22"/>
      <c r="V59" s="22"/>
      <c r="W59" s="22"/>
      <c r="X59" s="22"/>
    </row>
    <row r="60" spans="1:24" x14ac:dyDescent="0.25">
      <c r="A60" s="22"/>
      <c r="B60" s="22"/>
      <c r="C60" s="22"/>
      <c r="D60" s="22"/>
      <c r="E60" s="22"/>
      <c r="F60" s="22"/>
      <c r="G60" s="22"/>
      <c r="H60" s="22"/>
      <c r="I60" s="22"/>
      <c r="J60" s="22"/>
      <c r="K60" s="22"/>
      <c r="L60" s="22"/>
      <c r="M60" s="22"/>
      <c r="N60" s="22"/>
      <c r="O60" s="22"/>
      <c r="P60" s="22"/>
      <c r="Q60" s="22"/>
      <c r="R60" s="22"/>
      <c r="S60" s="22"/>
      <c r="T60" s="22"/>
      <c r="U60" s="22"/>
      <c r="V60" s="22"/>
      <c r="W60" s="22"/>
      <c r="X60" s="2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Sheet3</vt:lpstr>
      <vt:lpstr>Data</vt:lpstr>
      <vt:lpstr>Pie chart</vt:lpstr>
      <vt:lpstr>Column chart</vt:lpstr>
      <vt:lpstr>Bar chart</vt:lpstr>
      <vt:lpstr>Line chart</vt:lpstr>
      <vt:lpstr>Bar chart 2</vt:lpstr>
      <vt:lpstr>DASHBORAD</vt:lpstr>
      <vt:lpstr>NEW 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2026-01-21T07:09:57Z</dcterms:created>
  <dcterms:modified xsi:type="dcterms:W3CDTF">2026-02-12T09:35:45Z</dcterms:modified>
</cp:coreProperties>
</file>